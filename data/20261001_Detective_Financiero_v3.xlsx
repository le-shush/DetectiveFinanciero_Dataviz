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ke3\iCloudDrive\Desktop\MBA\Clases\01. Analisis Financiero\02. Tarea\"/>
    </mc:Choice>
  </mc:AlternateContent>
  <xr:revisionPtr revIDLastSave="0" documentId="13_ncr:1_{0307D73D-4485-4FBC-B149-FE7EC97D7675}" xr6:coauthVersionLast="47" xr6:coauthVersionMax="47" xr10:uidLastSave="{00000000-0000-0000-0000-000000000000}"/>
  <bookViews>
    <workbookView xWindow="-110" yWindow="-110" windowWidth="19420" windowHeight="11500" firstSheet="6" activeTab="6" xr2:uid="{00000000-000D-0000-FFFF-FFFF00000000}"/>
  </bookViews>
  <sheets>
    <sheet name="Resumen" sheetId="1" r:id="rId1"/>
    <sheet name="O&amp;G&gt;&gt;" sheetId="2" r:id="rId2"/>
    <sheet name="Conoco" sheetId="5" r:id="rId3"/>
    <sheet name="Chevron" sheetId="4" r:id="rId4"/>
    <sheet name="Exxon" sheetId="6" r:id="rId5"/>
    <sheet name="Valero" sheetId="23" r:id="rId6"/>
    <sheet name="Biotech&gt;&gt;" sheetId="7" r:id="rId7"/>
    <sheet name="IQVIA" sheetId="8" r:id="rId8"/>
    <sheet name="Argenx" sheetId="9" r:id="rId9"/>
    <sheet name="Beone" sheetId="10" r:id="rId10"/>
    <sheet name="ICON" sheetId="24" r:id="rId11"/>
    <sheet name="Technology&gt;&gt;" sheetId="11" r:id="rId12"/>
    <sheet name="NVIDIA" sheetId="13" r:id="rId13"/>
    <sheet name="Intel" sheetId="14" r:id="rId14"/>
    <sheet name="Broadcom" sheetId="15" r:id="rId15"/>
    <sheet name="Micron" sheetId="25" r:id="rId16"/>
    <sheet name="Pharma&gt;&gt;" sheetId="16" r:id="rId17"/>
    <sheet name="Eli Lilly" sheetId="17" r:id="rId18"/>
    <sheet name="J&amp;J" sheetId="19" r:id="rId19"/>
    <sheet name="Merck" sheetId="20" r:id="rId20"/>
    <sheet name="Roche" sheetId="26" r:id="rId21"/>
    <sheet name="Adicional &gt;&gt;" sheetId="27" state="hidden" r:id="rId22"/>
    <sheet name="Catálogo estándar" sheetId="21" state="hidden" r:id="rId23"/>
    <sheet name="Plantilla FS" sheetId="22" state="hidden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6" l="1"/>
  <c r="F2" i="16"/>
  <c r="E2" i="16"/>
  <c r="D2" i="16"/>
  <c r="F59" i="11"/>
  <c r="E59" i="11"/>
  <c r="D59" i="11"/>
  <c r="G2" i="11"/>
  <c r="F2" i="11"/>
  <c r="E2" i="11"/>
  <c r="D2" i="11"/>
  <c r="D59" i="7"/>
  <c r="G2" i="7"/>
  <c r="F2" i="7"/>
  <c r="E2" i="7"/>
  <c r="D2" i="7"/>
  <c r="F59" i="2"/>
  <c r="D59" i="2"/>
  <c r="G2" i="2"/>
  <c r="F2" i="2"/>
  <c r="E2" i="2"/>
  <c r="D2" i="2"/>
  <c r="F33" i="1"/>
  <c r="E33" i="1"/>
  <c r="E35" i="1" s="1"/>
  <c r="D33" i="1"/>
  <c r="D35" i="1" s="1"/>
  <c r="C33" i="1"/>
  <c r="F28" i="1"/>
  <c r="F35" i="1" s="1"/>
  <c r="F26" i="1"/>
  <c r="E26" i="1"/>
  <c r="E28" i="1" s="1"/>
  <c r="D26" i="1"/>
  <c r="D28" i="1" s="1"/>
  <c r="C26" i="1"/>
  <c r="C28" i="1" s="1"/>
  <c r="F22" i="1"/>
  <c r="E22" i="1"/>
  <c r="D22" i="1"/>
  <c r="C22" i="1"/>
  <c r="E15" i="1"/>
  <c r="E17" i="1" s="1"/>
  <c r="D15" i="1"/>
  <c r="D17" i="1" s="1"/>
  <c r="C15" i="1"/>
  <c r="C17" i="1" s="1"/>
  <c r="F10" i="1"/>
  <c r="F15" i="1" s="1"/>
  <c r="F17" i="1" s="1"/>
  <c r="E10" i="1"/>
  <c r="D10" i="1"/>
  <c r="C10" i="1"/>
  <c r="F8" i="1"/>
  <c r="E8" i="1"/>
  <c r="D8" i="1"/>
  <c r="C8" i="1"/>
  <c r="M6" i="16"/>
  <c r="O8" i="16"/>
  <c r="M14" i="16"/>
  <c r="M30" i="16"/>
  <c r="N37" i="16"/>
  <c r="M40" i="16"/>
  <c r="N45" i="16"/>
  <c r="O50" i="16"/>
  <c r="O15" i="16"/>
  <c r="N13" i="16"/>
  <c r="N47" i="16"/>
  <c r="O21" i="16"/>
  <c r="M45" i="16"/>
  <c r="N50" i="16"/>
  <c r="N6" i="16"/>
  <c r="M9" i="16"/>
  <c r="N14" i="16"/>
  <c r="M25" i="16"/>
  <c r="N30" i="16"/>
  <c r="O37" i="16"/>
  <c r="N40" i="16"/>
  <c r="O45" i="16"/>
  <c r="O6" i="16"/>
  <c r="N9" i="16"/>
  <c r="O14" i="16"/>
  <c r="M20" i="16"/>
  <c r="N25" i="16"/>
  <c r="O30" i="16"/>
  <c r="M38" i="16"/>
  <c r="O40" i="16"/>
  <c r="M7" i="16"/>
  <c r="O9" i="16"/>
  <c r="M15" i="16"/>
  <c r="N20" i="16"/>
  <c r="O25" i="16"/>
  <c r="N38" i="16"/>
  <c r="M41" i="16"/>
  <c r="N7" i="16"/>
  <c r="N15" i="16"/>
  <c r="O20" i="16"/>
  <c r="O38" i="16"/>
  <c r="N41" i="16"/>
  <c r="O7" i="16"/>
  <c r="M13" i="16"/>
  <c r="M21" i="16"/>
  <c r="O41" i="16"/>
  <c r="M47" i="16"/>
  <c r="M8" i="16"/>
  <c r="N21" i="16"/>
  <c r="M50" i="16"/>
  <c r="N8" i="16"/>
  <c r="O13" i="16"/>
  <c r="M37" i="16"/>
  <c r="O47" i="16"/>
  <c r="N10" i="16"/>
  <c r="L41" i="16"/>
  <c r="L15" i="16"/>
  <c r="L7" i="16"/>
  <c r="L21" i="16"/>
  <c r="L9" i="16"/>
  <c r="L50" i="16"/>
  <c r="L40" i="16"/>
  <c r="L30" i="16"/>
  <c r="L14" i="16"/>
  <c r="L6" i="16"/>
  <c r="L47" i="16"/>
  <c r="L13" i="16"/>
  <c r="L38" i="16"/>
  <c r="L20" i="16"/>
  <c r="L45" i="16"/>
  <c r="L37" i="16"/>
  <c r="L25" i="16"/>
  <c r="L8" i="16"/>
  <c r="M41" i="11"/>
  <c r="M40" i="11"/>
  <c r="M45" i="11"/>
  <c r="M6" i="11"/>
  <c r="O8" i="11"/>
  <c r="M14" i="11"/>
  <c r="M30" i="11"/>
  <c r="N37" i="11"/>
  <c r="N45" i="11"/>
  <c r="O50" i="11"/>
  <c r="O6" i="11"/>
  <c r="O14" i="11"/>
  <c r="M20" i="11"/>
  <c r="N25" i="11"/>
  <c r="O30" i="11"/>
  <c r="M38" i="11"/>
  <c r="O9" i="11"/>
  <c r="O47" i="11"/>
  <c r="N6" i="11"/>
  <c r="M9" i="11"/>
  <c r="N14" i="11"/>
  <c r="M25" i="11"/>
  <c r="N30" i="11"/>
  <c r="O37" i="11"/>
  <c r="N40" i="11"/>
  <c r="O45" i="11"/>
  <c r="N9" i="11"/>
  <c r="O40" i="11"/>
  <c r="M15" i="11"/>
  <c r="N20" i="11"/>
  <c r="O25" i="11"/>
  <c r="N38" i="11"/>
  <c r="O13" i="11"/>
  <c r="N50" i="11"/>
  <c r="M7" i="11"/>
  <c r="N7" i="11"/>
  <c r="N15" i="11"/>
  <c r="O20" i="11"/>
  <c r="O38" i="11"/>
  <c r="N41" i="11"/>
  <c r="O7" i="11"/>
  <c r="M13" i="11"/>
  <c r="O15" i="11"/>
  <c r="M21" i="11"/>
  <c r="O41" i="11"/>
  <c r="M47" i="11"/>
  <c r="M8" i="11"/>
  <c r="O10" i="11"/>
  <c r="N13" i="11"/>
  <c r="N21" i="11"/>
  <c r="N47" i="11"/>
  <c r="M50" i="11"/>
  <c r="N8" i="11"/>
  <c r="O21" i="11"/>
  <c r="M37" i="11"/>
  <c r="L41" i="11"/>
  <c r="L15" i="11"/>
  <c r="L7" i="11"/>
  <c r="L13" i="11"/>
  <c r="L50" i="11"/>
  <c r="L8" i="11"/>
  <c r="L40" i="11"/>
  <c r="L30" i="11"/>
  <c r="L14" i="11"/>
  <c r="L6" i="11"/>
  <c r="L47" i="11"/>
  <c r="L21" i="11"/>
  <c r="L25" i="11"/>
  <c r="L9" i="11"/>
  <c r="L38" i="11"/>
  <c r="L20" i="11"/>
  <c r="L45" i="11"/>
  <c r="L37" i="11"/>
  <c r="N50" i="7"/>
  <c r="N47" i="7"/>
  <c r="N45" i="7"/>
  <c r="L38" i="7"/>
  <c r="M6" i="7"/>
  <c r="O8" i="7"/>
  <c r="M14" i="7"/>
  <c r="M30" i="7"/>
  <c r="N37" i="7"/>
  <c r="M40" i="7"/>
  <c r="O50" i="7"/>
  <c r="N6" i="7"/>
  <c r="M9" i="7"/>
  <c r="N14" i="7"/>
  <c r="M25" i="7"/>
  <c r="N30" i="7"/>
  <c r="O37" i="7"/>
  <c r="N40" i="7"/>
  <c r="O45" i="7"/>
  <c r="O20" i="7"/>
  <c r="O38" i="7"/>
  <c r="M13" i="7"/>
  <c r="O41" i="7"/>
  <c r="M47" i="7"/>
  <c r="M50" i="7"/>
  <c r="N8" i="7"/>
  <c r="M45" i="7"/>
  <c r="O47" i="7"/>
  <c r="O6" i="7"/>
  <c r="N9" i="7"/>
  <c r="O14" i="7"/>
  <c r="M20" i="7"/>
  <c r="N25" i="7"/>
  <c r="O30" i="7"/>
  <c r="M38" i="7"/>
  <c r="O40" i="7"/>
  <c r="M7" i="7"/>
  <c r="O9" i="7"/>
  <c r="M15" i="7"/>
  <c r="N20" i="7"/>
  <c r="O25" i="7"/>
  <c r="N38" i="7"/>
  <c r="M41" i="7"/>
  <c r="N7" i="7"/>
  <c r="N10" i="7" s="1"/>
  <c r="N15" i="7"/>
  <c r="N41" i="7"/>
  <c r="O7" i="7"/>
  <c r="O15" i="7"/>
  <c r="M21" i="7"/>
  <c r="M8" i="7"/>
  <c r="N13" i="7"/>
  <c r="N21" i="7"/>
  <c r="O21" i="7"/>
  <c r="O22" i="7" s="1"/>
  <c r="M37" i="7"/>
  <c r="O13" i="7"/>
  <c r="L6" i="7"/>
  <c r="L41" i="7"/>
  <c r="L15" i="7"/>
  <c r="L7" i="7"/>
  <c r="L21" i="7"/>
  <c r="L20" i="7"/>
  <c r="L40" i="7"/>
  <c r="L30" i="7"/>
  <c r="L22" i="7"/>
  <c r="L14" i="7"/>
  <c r="L47" i="7"/>
  <c r="L13" i="7"/>
  <c r="L45" i="7"/>
  <c r="L37" i="7"/>
  <c r="L25" i="7"/>
  <c r="L9" i="7"/>
  <c r="L50" i="7"/>
  <c r="L8" i="7"/>
  <c r="M6" i="2"/>
  <c r="O8" i="2"/>
  <c r="M14" i="2"/>
  <c r="M30" i="2"/>
  <c r="N37" i="2"/>
  <c r="M40" i="2"/>
  <c r="N45" i="2"/>
  <c r="O50" i="2"/>
  <c r="N20" i="2"/>
  <c r="N41" i="2"/>
  <c r="O7" i="2"/>
  <c r="O15" i="2"/>
  <c r="O41" i="2"/>
  <c r="M8" i="2"/>
  <c r="N50" i="2"/>
  <c r="N6" i="2"/>
  <c r="M9" i="2"/>
  <c r="N14" i="2"/>
  <c r="M25" i="2"/>
  <c r="N30" i="2"/>
  <c r="O37" i="2"/>
  <c r="N40" i="2"/>
  <c r="O45" i="2"/>
  <c r="O9" i="2"/>
  <c r="N38" i="2"/>
  <c r="N7" i="2"/>
  <c r="N15" i="2"/>
  <c r="M13" i="2"/>
  <c r="M21" i="2"/>
  <c r="M47" i="2"/>
  <c r="N13" i="2"/>
  <c r="M50" i="2"/>
  <c r="O13" i="2"/>
  <c r="O21" i="2"/>
  <c r="M45" i="2"/>
  <c r="O6" i="2"/>
  <c r="N9" i="2"/>
  <c r="O14" i="2"/>
  <c r="M20" i="2"/>
  <c r="N25" i="2"/>
  <c r="O30" i="2"/>
  <c r="M38" i="2"/>
  <c r="O40" i="2"/>
  <c r="M7" i="2"/>
  <c r="M10" i="2" s="1"/>
  <c r="M15" i="2"/>
  <c r="O25" i="2"/>
  <c r="M41" i="2"/>
  <c r="O20" i="2"/>
  <c r="O38" i="2"/>
  <c r="O10" i="2"/>
  <c r="N21" i="2"/>
  <c r="N22" i="2" s="1"/>
  <c r="N47" i="2"/>
  <c r="N8" i="2"/>
  <c r="M37" i="2"/>
  <c r="O47" i="2"/>
  <c r="L50" i="2"/>
  <c r="L47" i="2"/>
  <c r="L45" i="2"/>
  <c r="L41" i="2"/>
  <c r="L40" i="2"/>
  <c r="L38" i="2"/>
  <c r="L37" i="2"/>
  <c r="L30" i="2"/>
  <c r="L25" i="2"/>
  <c r="L21" i="2"/>
  <c r="L20" i="2"/>
  <c r="L15" i="2"/>
  <c r="L14" i="2"/>
  <c r="L13" i="2"/>
  <c r="L9" i="2"/>
  <c r="L8" i="2"/>
  <c r="L7" i="2"/>
  <c r="L6" i="2"/>
  <c r="D54" i="22"/>
  <c r="D46" i="22"/>
  <c r="D42" i="22"/>
  <c r="D31" i="22"/>
  <c r="D26" i="22"/>
  <c r="D21" i="22"/>
  <c r="D16" i="22"/>
  <c r="D7" i="22"/>
  <c r="C54" i="22"/>
  <c r="C46" i="22"/>
  <c r="C42" i="22"/>
  <c r="C31" i="22"/>
  <c r="C26" i="22"/>
  <c r="C21" i="22"/>
  <c r="C16" i="22"/>
  <c r="C7" i="22"/>
  <c r="D49" i="22"/>
  <c r="D45" i="22"/>
  <c r="D41" i="22"/>
  <c r="D34" i="22"/>
  <c r="D29" i="22"/>
  <c r="D24" i="22"/>
  <c r="D19" i="22"/>
  <c r="D15" i="22"/>
  <c r="D10" i="22"/>
  <c r="C49" i="22"/>
  <c r="C45" i="22"/>
  <c r="C41" i="22"/>
  <c r="C34" i="22"/>
  <c r="C29" i="22"/>
  <c r="C24" i="22"/>
  <c r="C19" i="22"/>
  <c r="C15" i="22"/>
  <c r="C10" i="22"/>
  <c r="D52" i="22"/>
  <c r="D48" i="22"/>
  <c r="D33" i="22"/>
  <c r="D28" i="22"/>
  <c r="D18" i="22"/>
  <c r="D14" i="22"/>
  <c r="D9" i="22"/>
  <c r="C47" i="22"/>
  <c r="C18" i="22"/>
  <c r="C8" i="22"/>
  <c r="D43" i="22"/>
  <c r="C28" i="22"/>
  <c r="C52" i="22"/>
  <c r="C43" i="22"/>
  <c r="C14" i="22"/>
  <c r="D51" i="22"/>
  <c r="D12" i="22"/>
  <c r="C51" i="22"/>
  <c r="C22" i="22"/>
  <c r="C48" i="22"/>
  <c r="C12" i="22"/>
  <c r="D47" i="22"/>
  <c r="C9" i="22"/>
  <c r="D39" i="22"/>
  <c r="D8" i="22"/>
  <c r="C39" i="22"/>
  <c r="C33" i="22"/>
  <c r="D22" i="22"/>
  <c r="T52" i="2"/>
  <c r="T50" i="2"/>
  <c r="T48" i="2"/>
  <c r="T46" i="2"/>
  <c r="T44" i="2"/>
  <c r="T42" i="2"/>
  <c r="T40" i="2"/>
  <c r="T38" i="2"/>
  <c r="S33" i="2"/>
  <c r="S31" i="2"/>
  <c r="S27" i="2"/>
  <c r="S25" i="2"/>
  <c r="S23" i="2"/>
  <c r="S21" i="2"/>
  <c r="S17" i="2"/>
  <c r="S15" i="2"/>
  <c r="S13" i="2"/>
  <c r="S11" i="2"/>
  <c r="S9" i="2"/>
  <c r="S7" i="2"/>
  <c r="S47" i="2"/>
  <c r="S39" i="2"/>
  <c r="R30" i="2"/>
  <c r="R26" i="2"/>
  <c r="R18" i="2"/>
  <c r="R8" i="2"/>
  <c r="S52" i="2"/>
  <c r="S50" i="2"/>
  <c r="S48" i="2"/>
  <c r="S46" i="2"/>
  <c r="S44" i="2"/>
  <c r="S42" i="2"/>
  <c r="S40" i="2"/>
  <c r="S38" i="2"/>
  <c r="R33" i="2"/>
  <c r="R31" i="2"/>
  <c r="R27" i="2"/>
  <c r="R25" i="2"/>
  <c r="R23" i="2"/>
  <c r="R21" i="2"/>
  <c r="R17" i="2"/>
  <c r="R15" i="2"/>
  <c r="R13" i="2"/>
  <c r="R11" i="2"/>
  <c r="R9" i="2"/>
  <c r="R7" i="2"/>
  <c r="S45" i="2"/>
  <c r="S43" i="2"/>
  <c r="S41" i="2"/>
  <c r="R28" i="2"/>
  <c r="R14" i="2"/>
  <c r="R52" i="2"/>
  <c r="R50" i="2"/>
  <c r="R48" i="2"/>
  <c r="R46" i="2"/>
  <c r="R44" i="2"/>
  <c r="R42" i="2"/>
  <c r="R40" i="2"/>
  <c r="R38" i="2"/>
  <c r="S49" i="2"/>
  <c r="S37" i="2"/>
  <c r="R6" i="2"/>
  <c r="T32" i="2"/>
  <c r="T30" i="2"/>
  <c r="T28" i="2"/>
  <c r="T26" i="2"/>
  <c r="T20" i="2"/>
  <c r="T18" i="2"/>
  <c r="T14" i="2"/>
  <c r="T8" i="2"/>
  <c r="T6" i="2"/>
  <c r="R32" i="2"/>
  <c r="R20" i="2"/>
  <c r="T51" i="2"/>
  <c r="T49" i="2"/>
  <c r="T47" i="2"/>
  <c r="T45" i="2"/>
  <c r="T43" i="2"/>
  <c r="T41" i="2"/>
  <c r="T39" i="2"/>
  <c r="T37" i="2"/>
  <c r="S32" i="2"/>
  <c r="S30" i="2"/>
  <c r="S28" i="2"/>
  <c r="S26" i="2"/>
  <c r="S20" i="2"/>
  <c r="S18" i="2"/>
  <c r="S14" i="2"/>
  <c r="S8" i="2"/>
  <c r="S6" i="2"/>
  <c r="S51" i="2"/>
  <c r="R51" i="2"/>
  <c r="R43" i="2"/>
  <c r="R41" i="2"/>
  <c r="T21" i="2"/>
  <c r="T23" i="2"/>
  <c r="T17" i="2"/>
  <c r="T11" i="2"/>
  <c r="R49" i="2"/>
  <c r="R45" i="2"/>
  <c r="R37" i="2"/>
  <c r="T15" i="2"/>
  <c r="T33" i="2"/>
  <c r="T9" i="2"/>
  <c r="R47" i="2"/>
  <c r="R39" i="2"/>
  <c r="T31" i="2"/>
  <c r="T25" i="2"/>
  <c r="T13" i="2"/>
  <c r="T7" i="2"/>
  <c r="T27" i="2"/>
  <c r="M22" i="2"/>
  <c r="O22" i="2"/>
  <c r="L10" i="2"/>
  <c r="L22" i="2"/>
  <c r="N10" i="2"/>
  <c r="L10" i="7"/>
  <c r="O10" i="7"/>
  <c r="M22" i="7"/>
  <c r="N22" i="7"/>
  <c r="M10" i="7"/>
  <c r="L10" i="11"/>
  <c r="L22" i="11"/>
  <c r="M22" i="11"/>
  <c r="N22" i="11"/>
  <c r="O22" i="11"/>
  <c r="M10" i="11"/>
  <c r="N10" i="11"/>
  <c r="L10" i="16"/>
  <c r="L22" i="16"/>
  <c r="O10" i="16"/>
  <c r="M22" i="16"/>
  <c r="N22" i="16"/>
  <c r="O22" i="16"/>
  <c r="M10" i="16"/>
  <c r="M61" i="16" l="1"/>
  <c r="M39" i="16"/>
  <c r="N63" i="16"/>
  <c r="M63" i="16"/>
  <c r="O65" i="16"/>
  <c r="O23" i="16"/>
  <c r="N65" i="16"/>
  <c r="N23" i="16"/>
  <c r="O64" i="16"/>
  <c r="M65" i="16"/>
  <c r="M23" i="16"/>
  <c r="N64" i="16"/>
  <c r="O11" i="16"/>
  <c r="O61" i="16"/>
  <c r="O39" i="16"/>
  <c r="M64" i="16"/>
  <c r="N11" i="16"/>
  <c r="N39" i="16"/>
  <c r="N61" i="16"/>
  <c r="O63" i="16"/>
  <c r="M11" i="16"/>
  <c r="L63" i="16"/>
  <c r="L39" i="16"/>
  <c r="L61" i="16"/>
  <c r="L23" i="16"/>
  <c r="L65" i="16"/>
  <c r="L11" i="16"/>
  <c r="L64" i="16"/>
  <c r="M39" i="11"/>
  <c r="M61" i="11"/>
  <c r="E61" i="11" s="1"/>
  <c r="N63" i="11"/>
  <c r="M63" i="11"/>
  <c r="O65" i="11"/>
  <c r="G65" i="11" s="1"/>
  <c r="O23" i="11"/>
  <c r="N65" i="11"/>
  <c r="F65" i="11" s="1"/>
  <c r="N23" i="11"/>
  <c r="N64" i="11"/>
  <c r="F64" i="11" s="1"/>
  <c r="O61" i="11"/>
  <c r="G61" i="11" s="1"/>
  <c r="O39" i="11"/>
  <c r="M64" i="11"/>
  <c r="E64" i="11" s="1"/>
  <c r="N11" i="11"/>
  <c r="O64" i="11"/>
  <c r="G64" i="11" s="1"/>
  <c r="M65" i="11"/>
  <c r="E65" i="11" s="1"/>
  <c r="M23" i="11"/>
  <c r="O11" i="11"/>
  <c r="N61" i="11"/>
  <c r="F61" i="11" s="1"/>
  <c r="N39" i="11"/>
  <c r="O63" i="11"/>
  <c r="M11" i="11"/>
  <c r="C59" i="11"/>
  <c r="L39" i="11"/>
  <c r="D39" i="11" s="1"/>
  <c r="L61" i="11"/>
  <c r="D61" i="11" s="1"/>
  <c r="L23" i="11"/>
  <c r="L65" i="11"/>
  <c r="D65" i="11" s="1"/>
  <c r="L64" i="11"/>
  <c r="D64" i="11" s="1"/>
  <c r="L11" i="11"/>
  <c r="L63" i="11"/>
  <c r="N65" i="7"/>
  <c r="F65" i="7" s="1"/>
  <c r="N64" i="7"/>
  <c r="F64" i="7" s="1"/>
  <c r="N63" i="7"/>
  <c r="N61" i="7"/>
  <c r="F61" i="7" s="1"/>
  <c r="M39" i="7"/>
  <c r="M61" i="7"/>
  <c r="E61" i="7" s="1"/>
  <c r="M63" i="7"/>
  <c r="N23" i="7"/>
  <c r="N57" i="7" s="1"/>
  <c r="O64" i="7"/>
  <c r="G64" i="7" s="1"/>
  <c r="M65" i="7"/>
  <c r="E65" i="7" s="1"/>
  <c r="M23" i="7"/>
  <c r="O11" i="7"/>
  <c r="O65" i="7"/>
  <c r="G65" i="7" s="1"/>
  <c r="O23" i="7"/>
  <c r="O61" i="7"/>
  <c r="G61" i="7" s="1"/>
  <c r="O39" i="7"/>
  <c r="M64" i="7"/>
  <c r="E64" i="7" s="1"/>
  <c r="N11" i="7"/>
  <c r="N39" i="7"/>
  <c r="O63" i="7"/>
  <c r="M11" i="7"/>
  <c r="L63" i="7"/>
  <c r="L64" i="7"/>
  <c r="D64" i="7" s="1"/>
  <c r="L39" i="7"/>
  <c r="D39" i="7" s="1"/>
  <c r="L61" i="7"/>
  <c r="D61" i="7" s="1"/>
  <c r="L11" i="7"/>
  <c r="L23" i="7"/>
  <c r="L65" i="7"/>
  <c r="D65" i="7" s="1"/>
  <c r="L65" i="2"/>
  <c r="D65" i="2" s="1"/>
  <c r="L64" i="2"/>
  <c r="D64" i="2" s="1"/>
  <c r="L63" i="2"/>
  <c r="L61" i="2"/>
  <c r="D61" i="2" s="1"/>
  <c r="M61" i="2"/>
  <c r="E61" i="2" s="1"/>
  <c r="N63" i="2"/>
  <c r="O65" i="2"/>
  <c r="G65" i="2" s="1"/>
  <c r="M65" i="2"/>
  <c r="E65" i="2" s="1"/>
  <c r="N64" i="2"/>
  <c r="F64" i="2" s="1"/>
  <c r="O64" i="2"/>
  <c r="G64" i="2" s="1"/>
  <c r="O61" i="2"/>
  <c r="G61" i="2" s="1"/>
  <c r="M64" i="2"/>
  <c r="E64" i="2" s="1"/>
  <c r="M63" i="2"/>
  <c r="N65" i="2"/>
  <c r="F65" i="2" s="1"/>
  <c r="N61" i="2"/>
  <c r="F61" i="2" s="1"/>
  <c r="O63" i="2"/>
  <c r="D50" i="2"/>
  <c r="D47" i="2"/>
  <c r="D45" i="2"/>
  <c r="D41" i="2"/>
  <c r="D40" i="2"/>
  <c r="D38" i="2"/>
  <c r="D37" i="2"/>
  <c r="M39" i="2"/>
  <c r="O23" i="2"/>
  <c r="O57" i="2" s="1"/>
  <c r="M23" i="2"/>
  <c r="M57" i="2" s="1"/>
  <c r="O11" i="2"/>
  <c r="O39" i="2"/>
  <c r="N11" i="2"/>
  <c r="N23" i="2"/>
  <c r="N57" i="2" s="1"/>
  <c r="N39" i="2"/>
  <c r="F39" i="2" s="1"/>
  <c r="M11" i="2"/>
  <c r="L39" i="2"/>
  <c r="D39" i="2" s="1"/>
  <c r="L11" i="2"/>
  <c r="G37" i="11"/>
  <c r="G37" i="2"/>
  <c r="T10" i="2"/>
  <c r="T16" i="2"/>
  <c r="T22" i="2"/>
  <c r="D37" i="7"/>
  <c r="F37" i="11"/>
  <c r="S34" i="2"/>
  <c r="F38" i="2"/>
  <c r="F40" i="2"/>
  <c r="F50" i="2"/>
  <c r="D40" i="7"/>
  <c r="E38" i="2"/>
  <c r="E50" i="2"/>
  <c r="T34" i="2"/>
  <c r="G38" i="2"/>
  <c r="G50" i="2"/>
  <c r="D38" i="7"/>
  <c r="R10" i="2"/>
  <c r="R16" i="2"/>
  <c r="R22" i="2"/>
  <c r="E37" i="2"/>
  <c r="D41" i="7"/>
  <c r="R34" i="2"/>
  <c r="E37" i="7"/>
  <c r="S10" i="2"/>
  <c r="S16" i="2"/>
  <c r="S22" i="2"/>
  <c r="F37" i="2"/>
  <c r="F41" i="2"/>
  <c r="F45" i="2"/>
  <c r="F47" i="2"/>
  <c r="F37" i="7"/>
  <c r="E38" i="7"/>
  <c r="G37" i="7"/>
  <c r="F38" i="7"/>
  <c r="D47" i="7"/>
  <c r="G38" i="7"/>
  <c r="D50" i="7"/>
  <c r="E50" i="7"/>
  <c r="E37" i="11"/>
  <c r="C32" i="22"/>
  <c r="D45" i="11"/>
  <c r="G50" i="11"/>
  <c r="C40" i="22"/>
  <c r="C44" i="22" s="1"/>
  <c r="D38" i="11"/>
  <c r="D40" i="22"/>
  <c r="D44" i="22" s="1"/>
  <c r="E38" i="11"/>
  <c r="D47" i="11"/>
  <c r="D45" i="7"/>
  <c r="G50" i="7"/>
  <c r="F38" i="11"/>
  <c r="D40" i="11"/>
  <c r="C11" i="22"/>
  <c r="C60" i="22"/>
  <c r="D37" i="11"/>
  <c r="C50" i="22"/>
  <c r="G38" i="11"/>
  <c r="D41" i="11"/>
  <c r="D11" i="22"/>
  <c r="D50" i="22"/>
  <c r="D50" i="11"/>
  <c r="E50" i="11"/>
  <c r="C27" i="22"/>
  <c r="C17" i="22"/>
  <c r="D17" i="22"/>
  <c r="D27" i="22"/>
  <c r="D32" i="22"/>
  <c r="D60" i="22"/>
  <c r="C35" i="22"/>
  <c r="C23" i="22"/>
  <c r="C58" i="22"/>
  <c r="D35" i="22"/>
  <c r="D23" i="22"/>
  <c r="D58" i="22"/>
  <c r="C59" i="22"/>
  <c r="C61" i="22"/>
  <c r="C53" i="22"/>
  <c r="D59" i="22"/>
  <c r="D61" i="22"/>
  <c r="D53" i="22"/>
  <c r="C35" i="1"/>
  <c r="L60" i="16"/>
  <c r="O42" i="16"/>
  <c r="O26" i="16"/>
  <c r="O31" i="16"/>
  <c r="O60" i="16"/>
  <c r="N26" i="16"/>
  <c r="N42" i="16"/>
  <c r="N31" i="16"/>
  <c r="M60" i="16"/>
  <c r="N60" i="16"/>
  <c r="M42" i="16"/>
  <c r="M26" i="16"/>
  <c r="M31" i="16"/>
  <c r="L26" i="16"/>
  <c r="L42" i="16"/>
  <c r="L31" i="16"/>
  <c r="M42" i="11"/>
  <c r="O42" i="11"/>
  <c r="N60" i="11"/>
  <c r="M60" i="11"/>
  <c r="O60" i="11"/>
  <c r="O26" i="11"/>
  <c r="N31" i="11"/>
  <c r="M26" i="11"/>
  <c r="O31" i="11"/>
  <c r="N42" i="11"/>
  <c r="N26" i="11"/>
  <c r="M31" i="11"/>
  <c r="L42" i="11"/>
  <c r="L26" i="11"/>
  <c r="L60" i="11"/>
  <c r="L31" i="11"/>
  <c r="N60" i="7"/>
  <c r="M42" i="7"/>
  <c r="N42" i="7"/>
  <c r="M60" i="7"/>
  <c r="O26" i="7"/>
  <c r="O31" i="7"/>
  <c r="O42" i="7"/>
  <c r="N26" i="7"/>
  <c r="N31" i="7"/>
  <c r="O60" i="7"/>
  <c r="M26" i="7"/>
  <c r="M31" i="7"/>
  <c r="L31" i="7"/>
  <c r="L26" i="7"/>
  <c r="L42" i="7"/>
  <c r="L60" i="7"/>
  <c r="L60" i="2"/>
  <c r="N60" i="2"/>
  <c r="O60" i="2"/>
  <c r="M60" i="2"/>
  <c r="M42" i="2"/>
  <c r="M26" i="2"/>
  <c r="M12" i="2"/>
  <c r="M16" i="2" s="1"/>
  <c r="N24" i="2"/>
  <c r="O12" i="2"/>
  <c r="O16" i="2" s="1"/>
  <c r="N31" i="2"/>
  <c r="O42" i="2"/>
  <c r="O31" i="2"/>
  <c r="N42" i="2"/>
  <c r="N12" i="2"/>
  <c r="N16" i="2" s="1"/>
  <c r="M31" i="2"/>
  <c r="O24" i="2"/>
  <c r="N26" i="2"/>
  <c r="O26" i="2"/>
  <c r="M24" i="2"/>
  <c r="L42" i="2"/>
  <c r="L31" i="2"/>
  <c r="L26" i="2"/>
  <c r="L12" i="2"/>
  <c r="L16" i="2" s="1"/>
  <c r="M32" i="16" l="1"/>
  <c r="M27" i="16"/>
  <c r="M28" i="16" s="1"/>
  <c r="M43" i="16"/>
  <c r="M44" i="16" s="1"/>
  <c r="M70" i="16" s="1"/>
  <c r="N32" i="16"/>
  <c r="N43" i="16"/>
  <c r="N44" i="16" s="1"/>
  <c r="N27" i="16"/>
  <c r="N28" i="16" s="1"/>
  <c r="O32" i="16"/>
  <c r="O27" i="16"/>
  <c r="O28" i="16" s="1"/>
  <c r="O43" i="16"/>
  <c r="O44" i="16" s="1"/>
  <c r="O58" i="16"/>
  <c r="O56" i="16"/>
  <c r="M67" i="16"/>
  <c r="M66" i="16"/>
  <c r="M57" i="16"/>
  <c r="N66" i="16"/>
  <c r="N67" i="16"/>
  <c r="O57" i="16"/>
  <c r="N57" i="16"/>
  <c r="M58" i="16"/>
  <c r="M56" i="16"/>
  <c r="O67" i="16"/>
  <c r="O66" i="16"/>
  <c r="N58" i="16"/>
  <c r="N56" i="16"/>
  <c r="L32" i="16"/>
  <c r="L43" i="16"/>
  <c r="L44" i="16" s="1"/>
  <c r="L27" i="16"/>
  <c r="L28" i="16" s="1"/>
  <c r="L57" i="16"/>
  <c r="L58" i="16"/>
  <c r="L56" i="16"/>
  <c r="L66" i="16"/>
  <c r="L67" i="16"/>
  <c r="L56" i="11"/>
  <c r="D56" i="11" s="1"/>
  <c r="M43" i="11"/>
  <c r="M44" i="11" s="1"/>
  <c r="L43" i="11"/>
  <c r="L44" i="11" s="1"/>
  <c r="M32" i="11"/>
  <c r="N27" i="11"/>
  <c r="N28" i="11" s="1"/>
  <c r="N43" i="11"/>
  <c r="N44" i="11" s="1"/>
  <c r="O32" i="11"/>
  <c r="M27" i="11"/>
  <c r="M28" i="11" s="1"/>
  <c r="N32" i="11"/>
  <c r="O27" i="11"/>
  <c r="O28" i="11" s="1"/>
  <c r="O43" i="11"/>
  <c r="O44" i="11" s="1"/>
  <c r="M67" i="11"/>
  <c r="E67" i="11" s="1"/>
  <c r="M66" i="11"/>
  <c r="E66" i="11" s="1"/>
  <c r="N67" i="7"/>
  <c r="F67" i="7" s="1"/>
  <c r="N57" i="11"/>
  <c r="F57" i="11" s="1"/>
  <c r="O57" i="11"/>
  <c r="G57" i="11" s="1"/>
  <c r="N67" i="11"/>
  <c r="F67" i="11" s="1"/>
  <c r="N66" i="11"/>
  <c r="F66" i="11" s="1"/>
  <c r="M58" i="11"/>
  <c r="E58" i="11" s="1"/>
  <c r="M56" i="11"/>
  <c r="E56" i="11" s="1"/>
  <c r="O58" i="11"/>
  <c r="G58" i="11" s="1"/>
  <c r="O56" i="11"/>
  <c r="G56" i="11" s="1"/>
  <c r="N58" i="11"/>
  <c r="F58" i="11" s="1"/>
  <c r="N56" i="11"/>
  <c r="F56" i="11" s="1"/>
  <c r="O67" i="11"/>
  <c r="G67" i="11" s="1"/>
  <c r="O66" i="11"/>
  <c r="G66" i="11" s="1"/>
  <c r="M57" i="11"/>
  <c r="E57" i="11" s="1"/>
  <c r="L32" i="11"/>
  <c r="L27" i="11"/>
  <c r="L28" i="11" s="1"/>
  <c r="L58" i="11"/>
  <c r="D58" i="11" s="1"/>
  <c r="L57" i="11"/>
  <c r="D57" i="11" s="1"/>
  <c r="L66" i="11"/>
  <c r="D66" i="11" s="1"/>
  <c r="L67" i="11"/>
  <c r="D67" i="11" s="1"/>
  <c r="N66" i="7"/>
  <c r="F66" i="7" s="1"/>
  <c r="N58" i="7"/>
  <c r="F58" i="7" s="1"/>
  <c r="N56" i="7"/>
  <c r="F56" i="7" s="1"/>
  <c r="N43" i="7"/>
  <c r="N44" i="7" s="1"/>
  <c r="M43" i="7"/>
  <c r="M44" i="7" s="1"/>
  <c r="L43" i="7"/>
  <c r="L44" i="7" s="1"/>
  <c r="M32" i="7"/>
  <c r="M27" i="7"/>
  <c r="M28" i="7" s="1"/>
  <c r="N32" i="7"/>
  <c r="N27" i="7"/>
  <c r="N28" i="7" s="1"/>
  <c r="O43" i="7"/>
  <c r="O44" i="7" s="1"/>
  <c r="O32" i="7"/>
  <c r="O27" i="7"/>
  <c r="O28" i="7" s="1"/>
  <c r="O57" i="7"/>
  <c r="G57" i="7" s="1"/>
  <c r="M57" i="7"/>
  <c r="E57" i="7" s="1"/>
  <c r="M67" i="7"/>
  <c r="E67" i="7" s="1"/>
  <c r="M66" i="7"/>
  <c r="E66" i="7" s="1"/>
  <c r="F57" i="7"/>
  <c r="M58" i="7"/>
  <c r="E58" i="7" s="1"/>
  <c r="M56" i="7"/>
  <c r="E56" i="7" s="1"/>
  <c r="O66" i="7"/>
  <c r="G66" i="7" s="1"/>
  <c r="O67" i="7"/>
  <c r="G67" i="7" s="1"/>
  <c r="O58" i="7"/>
  <c r="G58" i="7" s="1"/>
  <c r="O56" i="7"/>
  <c r="G56" i="7" s="1"/>
  <c r="L27" i="7"/>
  <c r="L28" i="7" s="1"/>
  <c r="L32" i="7"/>
  <c r="L57" i="7"/>
  <c r="D57" i="7" s="1"/>
  <c r="L58" i="7"/>
  <c r="D58" i="7" s="1"/>
  <c r="L56" i="7"/>
  <c r="D56" i="7" s="1"/>
  <c r="L67" i="7"/>
  <c r="D67" i="7" s="1"/>
  <c r="L66" i="7"/>
  <c r="D66" i="7" s="1"/>
  <c r="L67" i="2"/>
  <c r="D67" i="2" s="1"/>
  <c r="L66" i="2"/>
  <c r="D66" i="2" s="1"/>
  <c r="N56" i="2"/>
  <c r="F56" i="2" s="1"/>
  <c r="N58" i="2"/>
  <c r="F58" i="2" s="1"/>
  <c r="M67" i="2"/>
  <c r="E67" i="2" s="1"/>
  <c r="M66" i="2"/>
  <c r="E66" i="2" s="1"/>
  <c r="O56" i="2"/>
  <c r="G56" i="2" s="1"/>
  <c r="O58" i="2"/>
  <c r="G58" i="2" s="1"/>
  <c r="N66" i="2"/>
  <c r="F66" i="2" s="1"/>
  <c r="N67" i="2"/>
  <c r="F67" i="2" s="1"/>
  <c r="M58" i="2"/>
  <c r="E58" i="2" s="1"/>
  <c r="M56" i="2"/>
  <c r="E56" i="2" s="1"/>
  <c r="O67" i="2"/>
  <c r="G67" i="2" s="1"/>
  <c r="O66" i="2"/>
  <c r="G66" i="2" s="1"/>
  <c r="D42" i="2"/>
  <c r="O27" i="2"/>
  <c r="O28" i="2" s="1"/>
  <c r="N27" i="2"/>
  <c r="N28" i="2" s="1"/>
  <c r="M32" i="2"/>
  <c r="N17" i="2"/>
  <c r="N18" i="2" s="1"/>
  <c r="N62" i="2" s="1"/>
  <c r="N43" i="2"/>
  <c r="O32" i="2"/>
  <c r="O43" i="2"/>
  <c r="O44" i="2" s="1"/>
  <c r="O70" i="2" s="1"/>
  <c r="N32" i="2"/>
  <c r="O17" i="2"/>
  <c r="O18" i="2" s="1"/>
  <c r="M17" i="2"/>
  <c r="M18" i="2" s="1"/>
  <c r="M27" i="2"/>
  <c r="M28" i="2" s="1"/>
  <c r="M43" i="2"/>
  <c r="M44" i="2" s="1"/>
  <c r="M70" i="2" s="1"/>
  <c r="L43" i="2"/>
  <c r="D43" i="2" s="1"/>
  <c r="F57" i="2"/>
  <c r="L32" i="2"/>
  <c r="L27" i="2"/>
  <c r="L17" i="2"/>
  <c r="C37" i="2"/>
  <c r="I39" i="1" s="1"/>
  <c r="C64" i="2"/>
  <c r="I66" i="1" s="1"/>
  <c r="C37" i="7"/>
  <c r="J39" i="1" s="1"/>
  <c r="C61" i="11"/>
  <c r="K63" i="1" s="1"/>
  <c r="G60" i="7"/>
  <c r="F42" i="2"/>
  <c r="E60" i="11"/>
  <c r="D42" i="11"/>
  <c r="G60" i="11"/>
  <c r="F60" i="2"/>
  <c r="F60" i="11"/>
  <c r="E60" i="7"/>
  <c r="D42" i="7"/>
  <c r="G60" i="2"/>
  <c r="F60" i="7"/>
  <c r="D60" i="11"/>
  <c r="D60" i="7"/>
  <c r="D60" i="2"/>
  <c r="E60" i="2"/>
  <c r="F40" i="7"/>
  <c r="G40" i="2"/>
  <c r="E40" i="7"/>
  <c r="F63" i="2"/>
  <c r="E39" i="11"/>
  <c r="G63" i="7"/>
  <c r="E63" i="11"/>
  <c r="G39" i="11"/>
  <c r="C65" i="11"/>
  <c r="K67" i="1" s="1"/>
  <c r="G63" i="2"/>
  <c r="E63" i="7"/>
  <c r="G63" i="11"/>
  <c r="G40" i="7"/>
  <c r="E39" i="2"/>
  <c r="C64" i="7"/>
  <c r="J66" i="1" s="1"/>
  <c r="F39" i="11"/>
  <c r="E59" i="7"/>
  <c r="C59" i="7" s="1"/>
  <c r="G39" i="7"/>
  <c r="E59" i="2"/>
  <c r="E40" i="2"/>
  <c r="C37" i="11"/>
  <c r="K39" i="1" s="1"/>
  <c r="F63" i="11"/>
  <c r="G59" i="2"/>
  <c r="E59" i="16"/>
  <c r="C50" i="2"/>
  <c r="I52" i="1" s="1"/>
  <c r="E39" i="7"/>
  <c r="C65" i="2"/>
  <c r="I67" i="1" s="1"/>
  <c r="C61" i="2"/>
  <c r="I63" i="1" s="1"/>
  <c r="C64" i="11"/>
  <c r="K66" i="1" s="1"/>
  <c r="D63" i="7"/>
  <c r="E63" i="2"/>
  <c r="D63" i="2"/>
  <c r="C65" i="7"/>
  <c r="J67" i="1" s="1"/>
  <c r="F39" i="7"/>
  <c r="F63" i="7"/>
  <c r="E40" i="11"/>
  <c r="C38" i="11"/>
  <c r="K40" i="1" s="1"/>
  <c r="E57" i="2"/>
  <c r="C38" i="7"/>
  <c r="J40" i="1" s="1"/>
  <c r="C61" i="7"/>
  <c r="J63" i="1" s="1"/>
  <c r="C38" i="2"/>
  <c r="I40" i="1" s="1"/>
  <c r="D63" i="11"/>
  <c r="G57" i="2"/>
  <c r="G39" i="2"/>
  <c r="N12" i="16"/>
  <c r="N16" i="16" s="1"/>
  <c r="N24" i="16"/>
  <c r="O12" i="16"/>
  <c r="O16" i="16" s="1"/>
  <c r="O24" i="16"/>
  <c r="M24" i="16"/>
  <c r="M12" i="16"/>
  <c r="M16" i="16" s="1"/>
  <c r="L24" i="16"/>
  <c r="L12" i="16"/>
  <c r="L16" i="16" s="1"/>
  <c r="N12" i="11"/>
  <c r="N16" i="11" s="1"/>
  <c r="M12" i="11"/>
  <c r="M16" i="11" s="1"/>
  <c r="N24" i="11"/>
  <c r="O24" i="11"/>
  <c r="O12" i="11"/>
  <c r="O16" i="11" s="1"/>
  <c r="M24" i="11"/>
  <c r="L12" i="11"/>
  <c r="L16" i="11" s="1"/>
  <c r="L24" i="11"/>
  <c r="N24" i="7"/>
  <c r="O24" i="7"/>
  <c r="M12" i="7"/>
  <c r="M16" i="7" s="1"/>
  <c r="M24" i="7"/>
  <c r="O12" i="7"/>
  <c r="O16" i="7" s="1"/>
  <c r="N12" i="7"/>
  <c r="N16" i="7" s="1"/>
  <c r="L24" i="7"/>
  <c r="L12" i="7"/>
  <c r="L16" i="7" s="1"/>
  <c r="O29" i="2"/>
  <c r="M29" i="2"/>
  <c r="N29" i="2"/>
  <c r="M17" i="16" l="1"/>
  <c r="M18" i="16" s="1"/>
  <c r="M69" i="16" s="1"/>
  <c r="O17" i="16"/>
  <c r="O18" i="16" s="1"/>
  <c r="O69" i="16" s="1"/>
  <c r="N17" i="16"/>
  <c r="N18" i="16" s="1"/>
  <c r="N69" i="16" s="1"/>
  <c r="N33" i="16"/>
  <c r="M46" i="16"/>
  <c r="M73" i="16"/>
  <c r="O33" i="16"/>
  <c r="N73" i="16"/>
  <c r="N46" i="16"/>
  <c r="N70" i="16"/>
  <c r="O70" i="16"/>
  <c r="O73" i="16"/>
  <c r="O46" i="16"/>
  <c r="M33" i="16"/>
  <c r="L17" i="16"/>
  <c r="L18" i="16" s="1"/>
  <c r="L69" i="16" s="1"/>
  <c r="L46" i="16"/>
  <c r="L73" i="16"/>
  <c r="L70" i="16"/>
  <c r="L33" i="16"/>
  <c r="N33" i="11"/>
  <c r="M73" i="11"/>
  <c r="O17" i="11"/>
  <c r="M17" i="11"/>
  <c r="N17" i="11"/>
  <c r="N18" i="11" s="1"/>
  <c r="F16" i="11" s="1"/>
  <c r="M46" i="11"/>
  <c r="M70" i="11"/>
  <c r="O33" i="11"/>
  <c r="N46" i="11"/>
  <c r="N70" i="11"/>
  <c r="N73" i="11"/>
  <c r="O70" i="11"/>
  <c r="O46" i="11"/>
  <c r="O73" i="11"/>
  <c r="M33" i="11"/>
  <c r="L17" i="11"/>
  <c r="L18" i="11" s="1"/>
  <c r="D15" i="11" s="1"/>
  <c r="L46" i="11"/>
  <c r="L73" i="11"/>
  <c r="L70" i="11"/>
  <c r="L33" i="11"/>
  <c r="N70" i="7"/>
  <c r="N73" i="7"/>
  <c r="N46" i="7"/>
  <c r="N17" i="7"/>
  <c r="N18" i="7" s="1"/>
  <c r="N69" i="7" s="1"/>
  <c r="O17" i="7"/>
  <c r="M17" i="7"/>
  <c r="M73" i="7"/>
  <c r="M70" i="7"/>
  <c r="M46" i="7"/>
  <c r="O33" i="7"/>
  <c r="O70" i="7"/>
  <c r="O73" i="7"/>
  <c r="O46" i="7"/>
  <c r="N33" i="7"/>
  <c r="M33" i="7"/>
  <c r="L33" i="7"/>
  <c r="L17" i="7"/>
  <c r="L18" i="7" s="1"/>
  <c r="D25" i="7" s="1"/>
  <c r="L46" i="7"/>
  <c r="L70" i="7"/>
  <c r="L73" i="7"/>
  <c r="N69" i="2"/>
  <c r="F69" i="2" s="1"/>
  <c r="M69" i="2"/>
  <c r="E6" i="2"/>
  <c r="M62" i="2"/>
  <c r="E62" i="2" s="1"/>
  <c r="O62" i="2"/>
  <c r="G62" i="2" s="1"/>
  <c r="O69" i="2"/>
  <c r="L18" i="2"/>
  <c r="N33" i="2"/>
  <c r="N34" i="2" s="1"/>
  <c r="O33" i="2"/>
  <c r="G33" i="2" s="1"/>
  <c r="M33" i="2"/>
  <c r="M34" i="2" s="1"/>
  <c r="O46" i="2"/>
  <c r="N44" i="2"/>
  <c r="N70" i="2" s="1"/>
  <c r="F43" i="2"/>
  <c r="M46" i="2"/>
  <c r="L44" i="2"/>
  <c r="C40" i="2"/>
  <c r="I42" i="1" s="1"/>
  <c r="F11" i="2"/>
  <c r="G13" i="2"/>
  <c r="G23" i="2"/>
  <c r="G21" i="2"/>
  <c r="G10" i="2"/>
  <c r="F26" i="2"/>
  <c r="G30" i="2"/>
  <c r="G22" i="2"/>
  <c r="G16" i="2"/>
  <c r="G20" i="2"/>
  <c r="G17" i="2"/>
  <c r="G9" i="2"/>
  <c r="E23" i="2"/>
  <c r="G8" i="2"/>
  <c r="G26" i="2"/>
  <c r="G32" i="2"/>
  <c r="G25" i="2"/>
  <c r="G15" i="2"/>
  <c r="G11" i="2"/>
  <c r="G7" i="2"/>
  <c r="G6" i="2"/>
  <c r="G18" i="2"/>
  <c r="G14" i="2"/>
  <c r="G31" i="2"/>
  <c r="G27" i="2"/>
  <c r="E18" i="2"/>
  <c r="E32" i="2"/>
  <c r="E11" i="2"/>
  <c r="E20" i="2"/>
  <c r="F31" i="2"/>
  <c r="E17" i="2"/>
  <c r="E15" i="2"/>
  <c r="E21" i="2"/>
  <c r="E8" i="2"/>
  <c r="E10" i="2"/>
  <c r="E9" i="2"/>
  <c r="E30" i="2"/>
  <c r="E7" i="2"/>
  <c r="E13" i="2"/>
  <c r="E31" i="2"/>
  <c r="E14" i="2"/>
  <c r="E25" i="2"/>
  <c r="E26" i="2"/>
  <c r="E16" i="2"/>
  <c r="E22" i="2"/>
  <c r="E27" i="2"/>
  <c r="F32" i="2"/>
  <c r="F18" i="2"/>
  <c r="F7" i="2"/>
  <c r="F10" i="2"/>
  <c r="F9" i="2"/>
  <c r="F6" i="2"/>
  <c r="F13" i="2"/>
  <c r="F22" i="2"/>
  <c r="F15" i="2"/>
  <c r="F14" i="2"/>
  <c r="F30" i="2"/>
  <c r="F21" i="2"/>
  <c r="F23" i="2"/>
  <c r="F62" i="2"/>
  <c r="F25" i="2"/>
  <c r="F16" i="2"/>
  <c r="F27" i="2"/>
  <c r="F8" i="2"/>
  <c r="F17" i="2"/>
  <c r="F28" i="2"/>
  <c r="F20" i="2"/>
  <c r="C39" i="7"/>
  <c r="J41" i="1" s="1"/>
  <c r="C67" i="2"/>
  <c r="I69" i="1" s="1"/>
  <c r="C40" i="7"/>
  <c r="J42" i="1" s="1"/>
  <c r="C39" i="11"/>
  <c r="K41" i="1" s="1"/>
  <c r="C39" i="2"/>
  <c r="I41" i="1" s="1"/>
  <c r="C58" i="11"/>
  <c r="K60" i="1" s="1"/>
  <c r="C63" i="11"/>
  <c r="K65" i="1" s="1"/>
  <c r="C57" i="11"/>
  <c r="K59" i="1" s="1"/>
  <c r="C66" i="2"/>
  <c r="I68" i="1" s="1"/>
  <c r="C56" i="11"/>
  <c r="K58" i="1" s="1"/>
  <c r="C56" i="7"/>
  <c r="J58" i="1" s="1"/>
  <c r="C58" i="7"/>
  <c r="J60" i="1" s="1"/>
  <c r="E42" i="7"/>
  <c r="F42" i="7"/>
  <c r="E42" i="2"/>
  <c r="E41" i="11"/>
  <c r="C60" i="7"/>
  <c r="J62" i="1" s="1"/>
  <c r="G41" i="2"/>
  <c r="C66" i="11"/>
  <c r="K68" i="1" s="1"/>
  <c r="C60" i="2"/>
  <c r="I62" i="1" s="1"/>
  <c r="G41" i="7"/>
  <c r="E41" i="2"/>
  <c r="D43" i="7"/>
  <c r="D43" i="11"/>
  <c r="E41" i="7"/>
  <c r="E43" i="2"/>
  <c r="E43" i="7"/>
  <c r="C60" i="11"/>
  <c r="K62" i="1" s="1"/>
  <c r="C66" i="7"/>
  <c r="J68" i="1" s="1"/>
  <c r="G40" i="11"/>
  <c r="F40" i="11"/>
  <c r="C63" i="7"/>
  <c r="J65" i="1" s="1"/>
  <c r="F41" i="7"/>
  <c r="C67" i="11"/>
  <c r="K69" i="1" s="1"/>
  <c r="C63" i="2"/>
  <c r="I65" i="1" s="1"/>
  <c r="C67" i="7"/>
  <c r="J69" i="1" s="1"/>
  <c r="C57" i="7"/>
  <c r="J59" i="1" s="1"/>
  <c r="M48" i="16"/>
  <c r="M29" i="16"/>
  <c r="O29" i="16"/>
  <c r="N48" i="16"/>
  <c r="N29" i="16"/>
  <c r="O48" i="16"/>
  <c r="L29" i="16"/>
  <c r="L48" i="16"/>
  <c r="M29" i="11"/>
  <c r="N29" i="11"/>
  <c r="N48" i="11"/>
  <c r="O48" i="11"/>
  <c r="O29" i="11"/>
  <c r="M48" i="11"/>
  <c r="L29" i="11"/>
  <c r="L48" i="11"/>
  <c r="N48" i="7"/>
  <c r="N29" i="7"/>
  <c r="O48" i="7"/>
  <c r="M29" i="7"/>
  <c r="M48" i="7"/>
  <c r="O29" i="7"/>
  <c r="L29" i="7"/>
  <c r="L48" i="7"/>
  <c r="O48" i="2"/>
  <c r="M19" i="2"/>
  <c r="N19" i="2"/>
  <c r="O19" i="2"/>
  <c r="M48" i="2"/>
  <c r="L48" i="2"/>
  <c r="L19" i="2"/>
  <c r="O49" i="16" l="1"/>
  <c r="N49" i="16"/>
  <c r="M49" i="16"/>
  <c r="N34" i="16"/>
  <c r="N62" i="16"/>
  <c r="O34" i="16"/>
  <c r="O62" i="16"/>
  <c r="M34" i="16"/>
  <c r="M62" i="16"/>
  <c r="L49" i="16"/>
  <c r="L34" i="16"/>
  <c r="L62" i="16"/>
  <c r="F18" i="11"/>
  <c r="F31" i="11"/>
  <c r="F8" i="11"/>
  <c r="F9" i="11"/>
  <c r="F27" i="11"/>
  <c r="D17" i="11"/>
  <c r="F25" i="11"/>
  <c r="F13" i="11"/>
  <c r="F14" i="11"/>
  <c r="F23" i="11"/>
  <c r="F10" i="11"/>
  <c r="F6" i="11"/>
  <c r="F17" i="11"/>
  <c r="F30" i="11"/>
  <c r="F32" i="11"/>
  <c r="F28" i="11"/>
  <c r="F22" i="11"/>
  <c r="D28" i="11"/>
  <c r="D25" i="11"/>
  <c r="F33" i="11"/>
  <c r="F20" i="11"/>
  <c r="D27" i="11"/>
  <c r="D33" i="11"/>
  <c r="D21" i="11"/>
  <c r="D11" i="11"/>
  <c r="F8" i="7"/>
  <c r="F26" i="11"/>
  <c r="F15" i="11"/>
  <c r="F7" i="11"/>
  <c r="D8" i="11"/>
  <c r="D7" i="11"/>
  <c r="F21" i="11"/>
  <c r="D31" i="11"/>
  <c r="D32" i="11"/>
  <c r="D14" i="11"/>
  <c r="D10" i="11"/>
  <c r="D30" i="11"/>
  <c r="D18" i="11"/>
  <c r="D13" i="11"/>
  <c r="D6" i="11"/>
  <c r="D23" i="11"/>
  <c r="D26" i="11"/>
  <c r="D20" i="11"/>
  <c r="D16" i="11"/>
  <c r="D9" i="11"/>
  <c r="M49" i="11"/>
  <c r="O49" i="11"/>
  <c r="N49" i="11"/>
  <c r="N34" i="11"/>
  <c r="N62" i="11"/>
  <c r="F62" i="11" s="1"/>
  <c r="F11" i="11"/>
  <c r="N69" i="11"/>
  <c r="F69" i="11" s="1"/>
  <c r="M18" i="11"/>
  <c r="E17" i="11" s="1"/>
  <c r="L69" i="11"/>
  <c r="D69" i="11" s="1"/>
  <c r="D22" i="11"/>
  <c r="O18" i="11"/>
  <c r="G17" i="11" s="1"/>
  <c r="L49" i="11"/>
  <c r="F15" i="7"/>
  <c r="D8" i="7"/>
  <c r="L34" i="11"/>
  <c r="L62" i="11"/>
  <c r="D62" i="11" s="1"/>
  <c r="F7" i="7"/>
  <c r="F11" i="7"/>
  <c r="F31" i="7"/>
  <c r="F18" i="7"/>
  <c r="N62" i="7"/>
  <c r="F62" i="7" s="1"/>
  <c r="D32" i="7"/>
  <c r="D20" i="7"/>
  <c r="F22" i="7"/>
  <c r="F13" i="7"/>
  <c r="F32" i="7"/>
  <c r="F10" i="7"/>
  <c r="F30" i="7"/>
  <c r="F26" i="7"/>
  <c r="F14" i="7"/>
  <c r="F16" i="7"/>
  <c r="D26" i="7"/>
  <c r="D27" i="7"/>
  <c r="D14" i="7"/>
  <c r="F27" i="7"/>
  <c r="F20" i="7"/>
  <c r="D31" i="7"/>
  <c r="D30" i="7"/>
  <c r="F25" i="7"/>
  <c r="N49" i="7"/>
  <c r="N77" i="7" s="1"/>
  <c r="D10" i="7"/>
  <c r="F33" i="7"/>
  <c r="F69" i="7"/>
  <c r="F6" i="7"/>
  <c r="F21" i="7"/>
  <c r="D16" i="7"/>
  <c r="F17" i="7"/>
  <c r="D33" i="7"/>
  <c r="D15" i="7"/>
  <c r="F28" i="7"/>
  <c r="F9" i="7"/>
  <c r="D17" i="7"/>
  <c r="D6" i="7"/>
  <c r="D11" i="7"/>
  <c r="D21" i="7"/>
  <c r="D28" i="7"/>
  <c r="D23" i="7"/>
  <c r="D22" i="7"/>
  <c r="D18" i="7"/>
  <c r="M49" i="7"/>
  <c r="O49" i="7"/>
  <c r="M18" i="7"/>
  <c r="E33" i="7" s="1"/>
  <c r="O18" i="7"/>
  <c r="G17" i="7" s="1"/>
  <c r="N34" i="7"/>
  <c r="F23" i="7"/>
  <c r="D9" i="7"/>
  <c r="D13" i="7"/>
  <c r="L69" i="7"/>
  <c r="D69" i="7" s="1"/>
  <c r="D7" i="7"/>
  <c r="L49" i="7"/>
  <c r="L34" i="7"/>
  <c r="L62" i="7"/>
  <c r="D62" i="7" s="1"/>
  <c r="L73" i="2"/>
  <c r="D44" i="2"/>
  <c r="L70" i="2"/>
  <c r="D27" i="2"/>
  <c r="C27" i="2" s="1"/>
  <c r="I26" i="1" s="1"/>
  <c r="L62" i="2"/>
  <c r="D62" i="2" s="1"/>
  <c r="C62" i="2" s="1"/>
  <c r="I64" i="1" s="1"/>
  <c r="D31" i="2"/>
  <c r="C31" i="2" s="1"/>
  <c r="I32" i="1" s="1"/>
  <c r="D26" i="2"/>
  <c r="C26" i="2" s="1"/>
  <c r="I25" i="1" s="1"/>
  <c r="D30" i="2"/>
  <c r="C30" i="2" s="1"/>
  <c r="I31" i="1" s="1"/>
  <c r="D6" i="2"/>
  <c r="C6" i="2" s="1"/>
  <c r="I3" i="1" s="1"/>
  <c r="D48" i="2"/>
  <c r="D11" i="2"/>
  <c r="C11" i="2" s="1"/>
  <c r="I8" i="1" s="1"/>
  <c r="D13" i="2"/>
  <c r="C13" i="2" s="1"/>
  <c r="I11" i="1" s="1"/>
  <c r="D15" i="2"/>
  <c r="C15" i="2" s="1"/>
  <c r="I13" i="1" s="1"/>
  <c r="D10" i="2"/>
  <c r="C10" i="2" s="1"/>
  <c r="I7" i="1" s="1"/>
  <c r="D7" i="2"/>
  <c r="C7" i="2" s="1"/>
  <c r="I4" i="1" s="1"/>
  <c r="D14" i="2"/>
  <c r="C14" i="2" s="1"/>
  <c r="I12" i="1" s="1"/>
  <c r="D32" i="2"/>
  <c r="C32" i="2" s="1"/>
  <c r="I33" i="1" s="1"/>
  <c r="D8" i="2"/>
  <c r="C8" i="2" s="1"/>
  <c r="I5" i="1" s="1"/>
  <c r="D22" i="2"/>
  <c r="C22" i="2" s="1"/>
  <c r="I21" i="1" s="1"/>
  <c r="D25" i="2"/>
  <c r="C25" i="2" s="1"/>
  <c r="I24" i="1" s="1"/>
  <c r="D20" i="2"/>
  <c r="C20" i="2" s="1"/>
  <c r="I19" i="1" s="1"/>
  <c r="D21" i="2"/>
  <c r="C21" i="2" s="1"/>
  <c r="I20" i="1" s="1"/>
  <c r="D16" i="2"/>
  <c r="C16" i="2" s="1"/>
  <c r="I14" i="1" s="1"/>
  <c r="D18" i="2"/>
  <c r="C18" i="2" s="1"/>
  <c r="I17" i="1" s="1"/>
  <c r="D9" i="2"/>
  <c r="C9" i="2" s="1"/>
  <c r="I6" i="1" s="1"/>
  <c r="D17" i="2"/>
  <c r="C17" i="2" s="1"/>
  <c r="I15" i="1" s="1"/>
  <c r="O34" i="2"/>
  <c r="M49" i="2"/>
  <c r="O49" i="2"/>
  <c r="N46" i="2"/>
  <c r="F46" i="2" s="1"/>
  <c r="N73" i="2"/>
  <c r="F73" i="2" s="1"/>
  <c r="F70" i="2"/>
  <c r="F44" i="2"/>
  <c r="L49" i="2"/>
  <c r="D49" i="2" s="1"/>
  <c r="L46" i="2"/>
  <c r="D46" i="2" s="1"/>
  <c r="F33" i="2"/>
  <c r="L23" i="2"/>
  <c r="L56" i="2" s="1"/>
  <c r="F42" i="11"/>
  <c r="E42" i="11"/>
  <c r="G42" i="11"/>
  <c r="G43" i="11"/>
  <c r="G42" i="7"/>
  <c r="C42" i="7" s="1"/>
  <c r="J44" i="1" s="1"/>
  <c r="G42" i="2"/>
  <c r="F43" i="7"/>
  <c r="C40" i="11"/>
  <c r="K42" i="1" s="1"/>
  <c r="E33" i="2"/>
  <c r="D46" i="7"/>
  <c r="D73" i="7"/>
  <c r="D70" i="7"/>
  <c r="D44" i="7"/>
  <c r="D48" i="7"/>
  <c r="G41" i="11"/>
  <c r="D70" i="11"/>
  <c r="D73" i="11"/>
  <c r="D44" i="11"/>
  <c r="D46" i="11"/>
  <c r="D48" i="11"/>
  <c r="C41" i="7"/>
  <c r="J43" i="1" s="1"/>
  <c r="E69" i="2"/>
  <c r="E28" i="2"/>
  <c r="F41" i="11"/>
  <c r="E45" i="7"/>
  <c r="G69" i="2"/>
  <c r="G28" i="2"/>
  <c r="M19" i="16"/>
  <c r="N19" i="16"/>
  <c r="O19" i="16"/>
  <c r="L19" i="16"/>
  <c r="N19" i="11"/>
  <c r="L19" i="11"/>
  <c r="N51" i="7"/>
  <c r="N19" i="7"/>
  <c r="L19" i="7"/>
  <c r="N48" i="2"/>
  <c r="L51" i="2"/>
  <c r="L24" i="2"/>
  <c r="M77" i="16" l="1"/>
  <c r="M78" i="16"/>
  <c r="M76" i="16"/>
  <c r="N78" i="16"/>
  <c r="N76" i="16"/>
  <c r="N77" i="16"/>
  <c r="O78" i="16"/>
  <c r="O76" i="16"/>
  <c r="O77" i="16"/>
  <c r="L78" i="16"/>
  <c r="L76" i="16"/>
  <c r="L77" i="16"/>
  <c r="M78" i="11"/>
  <c r="M76" i="11"/>
  <c r="M77" i="11"/>
  <c r="E28" i="11"/>
  <c r="E33" i="11"/>
  <c r="C17" i="11"/>
  <c r="K15" i="1" s="1"/>
  <c r="G28" i="11"/>
  <c r="O34" i="11"/>
  <c r="O62" i="11"/>
  <c r="G62" i="11" s="1"/>
  <c r="G6" i="11"/>
  <c r="G22" i="11"/>
  <c r="G11" i="11"/>
  <c r="G13" i="11"/>
  <c r="G18" i="11"/>
  <c r="G31" i="11"/>
  <c r="G25" i="11"/>
  <c r="G14" i="11"/>
  <c r="G21" i="11"/>
  <c r="G32" i="11"/>
  <c r="G9" i="11"/>
  <c r="G15" i="11"/>
  <c r="G20" i="11"/>
  <c r="G7" i="11"/>
  <c r="G8" i="11"/>
  <c r="G30" i="11"/>
  <c r="G26" i="11"/>
  <c r="G10" i="11"/>
  <c r="G27" i="11"/>
  <c r="G23" i="11"/>
  <c r="G16" i="11"/>
  <c r="O69" i="11"/>
  <c r="G69" i="11" s="1"/>
  <c r="G33" i="11"/>
  <c r="N76" i="11"/>
  <c r="N77" i="11"/>
  <c r="N78" i="11"/>
  <c r="M34" i="11"/>
  <c r="M62" i="11"/>
  <c r="E62" i="11" s="1"/>
  <c r="E6" i="11"/>
  <c r="E20" i="11"/>
  <c r="E23" i="11"/>
  <c r="E30" i="11"/>
  <c r="E11" i="11"/>
  <c r="E14" i="11"/>
  <c r="E9" i="11"/>
  <c r="E18" i="11"/>
  <c r="E8" i="11"/>
  <c r="E13" i="11"/>
  <c r="E21" i="11"/>
  <c r="E26" i="11"/>
  <c r="E31" i="11"/>
  <c r="E27" i="11"/>
  <c r="E7" i="11"/>
  <c r="E32" i="11"/>
  <c r="E15" i="11"/>
  <c r="E25" i="11"/>
  <c r="E22" i="11"/>
  <c r="E10" i="11"/>
  <c r="E16" i="11"/>
  <c r="M69" i="11"/>
  <c r="E69" i="11" s="1"/>
  <c r="G49" i="11"/>
  <c r="O78" i="11"/>
  <c r="O77" i="11"/>
  <c r="O76" i="11"/>
  <c r="E49" i="11"/>
  <c r="D49" i="11"/>
  <c r="L78" i="11"/>
  <c r="D78" i="11" s="1"/>
  <c r="L77" i="11"/>
  <c r="D77" i="11" s="1"/>
  <c r="L76" i="11"/>
  <c r="D76" i="11" s="1"/>
  <c r="N52" i="7"/>
  <c r="G33" i="7"/>
  <c r="C33" i="7" s="1"/>
  <c r="J35" i="1" s="1"/>
  <c r="E17" i="7"/>
  <c r="C17" i="7" s="1"/>
  <c r="J15" i="1" s="1"/>
  <c r="O34" i="7"/>
  <c r="O62" i="7"/>
  <c r="G62" i="7" s="1"/>
  <c r="G30" i="7"/>
  <c r="G23" i="7"/>
  <c r="G13" i="7"/>
  <c r="G9" i="7"/>
  <c r="G15" i="7"/>
  <c r="G14" i="7"/>
  <c r="G20" i="7"/>
  <c r="G11" i="7"/>
  <c r="G31" i="7"/>
  <c r="G6" i="7"/>
  <c r="G32" i="7"/>
  <c r="G8" i="7"/>
  <c r="G25" i="7"/>
  <c r="G22" i="7"/>
  <c r="G7" i="7"/>
  <c r="G18" i="7"/>
  <c r="G10" i="7"/>
  <c r="G26" i="7"/>
  <c r="G21" i="7"/>
  <c r="G28" i="7"/>
  <c r="G16" i="7"/>
  <c r="O69" i="7"/>
  <c r="G69" i="7" s="1"/>
  <c r="G27" i="7"/>
  <c r="M34" i="7"/>
  <c r="M62" i="7"/>
  <c r="E62" i="7" s="1"/>
  <c r="E14" i="7"/>
  <c r="E30" i="7"/>
  <c r="E26" i="7"/>
  <c r="E11" i="7"/>
  <c r="E15" i="7"/>
  <c r="E27" i="7"/>
  <c r="E6" i="7"/>
  <c r="E7" i="7"/>
  <c r="E22" i="7"/>
  <c r="E25" i="7"/>
  <c r="E20" i="7"/>
  <c r="E10" i="7"/>
  <c r="E21" i="7"/>
  <c r="E23" i="7"/>
  <c r="E9" i="7"/>
  <c r="E32" i="7"/>
  <c r="E18" i="7"/>
  <c r="E8" i="7"/>
  <c r="E13" i="7"/>
  <c r="E31" i="7"/>
  <c r="E16" i="7"/>
  <c r="M69" i="7"/>
  <c r="E69" i="7" s="1"/>
  <c r="G49" i="7"/>
  <c r="O78" i="7"/>
  <c r="O77" i="7"/>
  <c r="O76" i="7"/>
  <c r="E49" i="7"/>
  <c r="M78" i="7"/>
  <c r="E78" i="7" s="1"/>
  <c r="M76" i="7"/>
  <c r="E76" i="7" s="1"/>
  <c r="M77" i="7"/>
  <c r="E77" i="7" s="1"/>
  <c r="E28" i="7"/>
  <c r="N78" i="7"/>
  <c r="N76" i="7"/>
  <c r="D49" i="7"/>
  <c r="L78" i="7"/>
  <c r="D78" i="7" s="1"/>
  <c r="L76" i="7"/>
  <c r="D76" i="7" s="1"/>
  <c r="L77" i="7"/>
  <c r="D77" i="7" s="1"/>
  <c r="L77" i="2"/>
  <c r="L76" i="2"/>
  <c r="D51" i="2"/>
  <c r="L28" i="2"/>
  <c r="L69" i="2" s="1"/>
  <c r="D23" i="2"/>
  <c r="C23" i="2" s="1"/>
  <c r="I22" i="1" s="1"/>
  <c r="F48" i="2"/>
  <c r="N49" i="2"/>
  <c r="G49" i="2"/>
  <c r="E49" i="2"/>
  <c r="L52" i="2"/>
  <c r="L58" i="2"/>
  <c r="D58" i="2" s="1"/>
  <c r="C58" i="2" s="1"/>
  <c r="I60" i="1" s="1"/>
  <c r="L57" i="2"/>
  <c r="D57" i="2" s="1"/>
  <c r="C57" i="2" s="1"/>
  <c r="I59" i="1" s="1"/>
  <c r="D56" i="2"/>
  <c r="C56" i="2" s="1"/>
  <c r="I58" i="1" s="1"/>
  <c r="C41" i="11"/>
  <c r="K43" i="1" s="1"/>
  <c r="F44" i="11"/>
  <c r="F73" i="11"/>
  <c r="E46" i="7"/>
  <c r="F73" i="7"/>
  <c r="F44" i="7"/>
  <c r="F46" i="7"/>
  <c r="G45" i="2"/>
  <c r="E43" i="11"/>
  <c r="M76" i="2"/>
  <c r="E76" i="2" s="1"/>
  <c r="M73" i="2"/>
  <c r="E73" i="2" s="1"/>
  <c r="E44" i="2"/>
  <c r="M77" i="2"/>
  <c r="E77" i="2" s="1"/>
  <c r="M78" i="2"/>
  <c r="E78" i="2" s="1"/>
  <c r="G43" i="2"/>
  <c r="E73" i="7"/>
  <c r="E44" i="7"/>
  <c r="G43" i="7"/>
  <c r="C43" i="7" s="1"/>
  <c r="J45" i="1" s="1"/>
  <c r="F45" i="7"/>
  <c r="F43" i="11"/>
  <c r="F46" i="11"/>
  <c r="C42" i="11"/>
  <c r="K44" i="1" s="1"/>
  <c r="M51" i="16"/>
  <c r="O51" i="16"/>
  <c r="N51" i="16"/>
  <c r="L51" i="16"/>
  <c r="O19" i="11"/>
  <c r="M19" i="11"/>
  <c r="O51" i="11"/>
  <c r="N51" i="11"/>
  <c r="M51" i="11"/>
  <c r="L51" i="11"/>
  <c r="N53" i="7"/>
  <c r="M51" i="7"/>
  <c r="O19" i="7"/>
  <c r="M19" i="7"/>
  <c r="O51" i="7"/>
  <c r="L51" i="7"/>
  <c r="L29" i="2"/>
  <c r="O51" i="2"/>
  <c r="M51" i="2"/>
  <c r="L53" i="2"/>
  <c r="C14" i="11" l="1"/>
  <c r="K12" i="1" s="1"/>
  <c r="N75" i="7"/>
  <c r="N72" i="7"/>
  <c r="N52" i="16"/>
  <c r="O52" i="16"/>
  <c r="M52" i="16"/>
  <c r="L52" i="16"/>
  <c r="L75" i="16" s="1"/>
  <c r="C28" i="11"/>
  <c r="K28" i="1" s="1"/>
  <c r="C33" i="11"/>
  <c r="K35" i="1" s="1"/>
  <c r="C10" i="11"/>
  <c r="K7" i="1" s="1"/>
  <c r="C30" i="11"/>
  <c r="K31" i="1" s="1"/>
  <c r="C7" i="11"/>
  <c r="K4" i="1" s="1"/>
  <c r="C69" i="11"/>
  <c r="K71" i="1" s="1"/>
  <c r="C31" i="11"/>
  <c r="K32" i="1" s="1"/>
  <c r="C27" i="11"/>
  <c r="K26" i="1" s="1"/>
  <c r="C11" i="11"/>
  <c r="K8" i="1" s="1"/>
  <c r="C32" i="11"/>
  <c r="K33" i="1" s="1"/>
  <c r="C62" i="11"/>
  <c r="K64" i="1" s="1"/>
  <c r="C26" i="11"/>
  <c r="K25" i="1" s="1"/>
  <c r="C22" i="11"/>
  <c r="K21" i="1" s="1"/>
  <c r="C25" i="11"/>
  <c r="K24" i="1" s="1"/>
  <c r="C8" i="11"/>
  <c r="K5" i="1" s="1"/>
  <c r="C6" i="11"/>
  <c r="K3" i="1" s="1"/>
  <c r="C15" i="11"/>
  <c r="K13" i="1" s="1"/>
  <c r="E51" i="11"/>
  <c r="M52" i="11"/>
  <c r="M75" i="11" s="1"/>
  <c r="N52" i="11"/>
  <c r="G51" i="11"/>
  <c r="O52" i="11"/>
  <c r="C16" i="11"/>
  <c r="K14" i="1" s="1"/>
  <c r="C21" i="11"/>
  <c r="K20" i="1" s="1"/>
  <c r="C23" i="11"/>
  <c r="K22" i="1" s="1"/>
  <c r="C13" i="11"/>
  <c r="K11" i="1" s="1"/>
  <c r="C20" i="11"/>
  <c r="K19" i="1" s="1"/>
  <c r="C18" i="11"/>
  <c r="K17" i="1" s="1"/>
  <c r="C9" i="11"/>
  <c r="K6" i="1" s="1"/>
  <c r="D51" i="11"/>
  <c r="L52" i="11"/>
  <c r="C7" i="7"/>
  <c r="J4" i="1" s="1"/>
  <c r="N74" i="7"/>
  <c r="C27" i="7"/>
  <c r="J26" i="1" s="1"/>
  <c r="C18" i="7"/>
  <c r="J17" i="1" s="1"/>
  <c r="C62" i="7"/>
  <c r="J64" i="1" s="1"/>
  <c r="C8" i="7"/>
  <c r="J5" i="1" s="1"/>
  <c r="C28" i="7"/>
  <c r="J28" i="1" s="1"/>
  <c r="C9" i="7"/>
  <c r="J6" i="1" s="1"/>
  <c r="C16" i="7"/>
  <c r="J14" i="1" s="1"/>
  <c r="C15" i="7"/>
  <c r="J13" i="1" s="1"/>
  <c r="C22" i="7"/>
  <c r="J21" i="1" s="1"/>
  <c r="C14" i="7"/>
  <c r="J12" i="1" s="1"/>
  <c r="C6" i="7"/>
  <c r="J3" i="1" s="1"/>
  <c r="C69" i="7"/>
  <c r="J71" i="1" s="1"/>
  <c r="C23" i="7"/>
  <c r="J22" i="1" s="1"/>
  <c r="G51" i="7"/>
  <c r="O52" i="7"/>
  <c r="E51" i="7"/>
  <c r="M52" i="7"/>
  <c r="M72" i="7" s="1"/>
  <c r="C32" i="7"/>
  <c r="J33" i="1" s="1"/>
  <c r="C21" i="7"/>
  <c r="J20" i="1" s="1"/>
  <c r="C31" i="7"/>
  <c r="J32" i="1" s="1"/>
  <c r="C10" i="7"/>
  <c r="J7" i="1" s="1"/>
  <c r="C11" i="7"/>
  <c r="J8" i="1" s="1"/>
  <c r="C13" i="7"/>
  <c r="J11" i="1" s="1"/>
  <c r="C20" i="7"/>
  <c r="J19" i="1" s="1"/>
  <c r="C26" i="7"/>
  <c r="J25" i="1" s="1"/>
  <c r="C25" i="7"/>
  <c r="J24" i="1" s="1"/>
  <c r="C30" i="7"/>
  <c r="J31" i="1" s="1"/>
  <c r="D51" i="7"/>
  <c r="L52" i="7"/>
  <c r="L74" i="2"/>
  <c r="L75" i="2"/>
  <c r="D52" i="2"/>
  <c r="L72" i="2"/>
  <c r="L33" i="2"/>
  <c r="E51" i="2"/>
  <c r="M52" i="2"/>
  <c r="G51" i="2"/>
  <c r="O52" i="2"/>
  <c r="F49" i="2"/>
  <c r="N76" i="2"/>
  <c r="F76" i="2" s="1"/>
  <c r="N77" i="2"/>
  <c r="F77" i="2" s="1"/>
  <c r="N78" i="2"/>
  <c r="F78" i="2" s="1"/>
  <c r="D69" i="2"/>
  <c r="C69" i="2" s="1"/>
  <c r="I71" i="1" s="1"/>
  <c r="D28" i="2"/>
  <c r="C28" i="2" s="1"/>
  <c r="I28" i="1" s="1"/>
  <c r="F70" i="7"/>
  <c r="E47" i="7"/>
  <c r="C43" i="11"/>
  <c r="K45" i="1" s="1"/>
  <c r="E45" i="2"/>
  <c r="O73" i="2"/>
  <c r="G73" i="2" s="1"/>
  <c r="O78" i="2"/>
  <c r="G78" i="2" s="1"/>
  <c r="O77" i="2"/>
  <c r="G77" i="2" s="1"/>
  <c r="O76" i="2"/>
  <c r="G76" i="2" s="1"/>
  <c r="G44" i="2"/>
  <c r="G78" i="7"/>
  <c r="G77" i="7"/>
  <c r="G76" i="7"/>
  <c r="G73" i="7"/>
  <c r="C73" i="7" s="1"/>
  <c r="J75" i="1" s="1"/>
  <c r="G44" i="7"/>
  <c r="C44" i="7" s="1"/>
  <c r="J46" i="1" s="1"/>
  <c r="E78" i="11"/>
  <c r="E77" i="11"/>
  <c r="E76" i="11"/>
  <c r="E44" i="11"/>
  <c r="E73" i="11"/>
  <c r="G77" i="11"/>
  <c r="G76" i="11"/>
  <c r="G44" i="11"/>
  <c r="G73" i="11"/>
  <c r="G78" i="11"/>
  <c r="G45" i="11"/>
  <c r="F45" i="11"/>
  <c r="G46" i="2"/>
  <c r="N51" i="2"/>
  <c r="M74" i="16" l="1"/>
  <c r="M72" i="16"/>
  <c r="M75" i="16"/>
  <c r="O74" i="16"/>
  <c r="O72" i="16"/>
  <c r="O75" i="16"/>
  <c r="N74" i="16"/>
  <c r="N72" i="16"/>
  <c r="N75" i="16"/>
  <c r="L74" i="16"/>
  <c r="L72" i="16"/>
  <c r="M72" i="11"/>
  <c r="E72" i="11" s="1"/>
  <c r="M74" i="11"/>
  <c r="E74" i="11" s="1"/>
  <c r="O74" i="11"/>
  <c r="G74" i="11" s="1"/>
  <c r="O72" i="11"/>
  <c r="G72" i="11" s="1"/>
  <c r="O75" i="11"/>
  <c r="G75" i="11" s="1"/>
  <c r="G52" i="11"/>
  <c r="N74" i="11"/>
  <c r="N75" i="11"/>
  <c r="N72" i="11"/>
  <c r="E75" i="11"/>
  <c r="E52" i="11"/>
  <c r="L75" i="11"/>
  <c r="D75" i="11" s="1"/>
  <c r="L74" i="11"/>
  <c r="D74" i="11" s="1"/>
  <c r="L72" i="11"/>
  <c r="D72" i="11" s="1"/>
  <c r="D52" i="11"/>
  <c r="E72" i="7"/>
  <c r="M74" i="7"/>
  <c r="E74" i="7" s="1"/>
  <c r="M75" i="7"/>
  <c r="E75" i="7" s="1"/>
  <c r="E52" i="7"/>
  <c r="O74" i="7"/>
  <c r="G74" i="7" s="1"/>
  <c r="O72" i="7"/>
  <c r="G72" i="7" s="1"/>
  <c r="O75" i="7"/>
  <c r="G75" i="7" s="1"/>
  <c r="G52" i="7"/>
  <c r="L75" i="7"/>
  <c r="D75" i="7" s="1"/>
  <c r="L74" i="7"/>
  <c r="D74" i="7" s="1"/>
  <c r="L72" i="7"/>
  <c r="D72" i="7" s="1"/>
  <c r="D52" i="7"/>
  <c r="D33" i="2"/>
  <c r="C33" i="2" s="1"/>
  <c r="I35" i="1" s="1"/>
  <c r="L34" i="2"/>
  <c r="F51" i="2"/>
  <c r="N52" i="2"/>
  <c r="O74" i="2"/>
  <c r="G74" i="2" s="1"/>
  <c r="O75" i="2"/>
  <c r="G75" i="2" s="1"/>
  <c r="G52" i="2"/>
  <c r="O72" i="2"/>
  <c r="G72" i="2" s="1"/>
  <c r="M72" i="2"/>
  <c r="E72" i="2" s="1"/>
  <c r="M75" i="2"/>
  <c r="E75" i="2" s="1"/>
  <c r="M74" i="2"/>
  <c r="E74" i="2" s="1"/>
  <c r="E52" i="2"/>
  <c r="F47" i="7"/>
  <c r="E70" i="7"/>
  <c r="E48" i="7"/>
  <c r="C73" i="11"/>
  <c r="K75" i="1" s="1"/>
  <c r="E46" i="2"/>
  <c r="G45" i="7"/>
  <c r="C45" i="7" s="1"/>
  <c r="J47" i="1" s="1"/>
  <c r="C44" i="11"/>
  <c r="K46" i="1" s="1"/>
  <c r="F47" i="11"/>
  <c r="F70" i="11"/>
  <c r="G46" i="11"/>
  <c r="E45" i="11"/>
  <c r="C45" i="11" s="1"/>
  <c r="K47" i="1" s="1"/>
  <c r="N53" i="16"/>
  <c r="O53" i="16"/>
  <c r="M53" i="16"/>
  <c r="L53" i="16"/>
  <c r="O53" i="11"/>
  <c r="M53" i="11"/>
  <c r="N53" i="11"/>
  <c r="L53" i="11"/>
  <c r="O53" i="7"/>
  <c r="M53" i="7"/>
  <c r="L53" i="7"/>
  <c r="O53" i="2"/>
  <c r="M53" i="2"/>
  <c r="F52" i="2" l="1"/>
  <c r="N72" i="2"/>
  <c r="F72" i="2" s="1"/>
  <c r="N75" i="2"/>
  <c r="F75" i="2" s="1"/>
  <c r="N74" i="2"/>
  <c r="F74" i="2" s="1"/>
  <c r="E46" i="11"/>
  <c r="C46" i="11" s="1"/>
  <c r="K48" i="1" s="1"/>
  <c r="E47" i="2"/>
  <c r="E70" i="2"/>
  <c r="E48" i="2"/>
  <c r="G47" i="2"/>
  <c r="G48" i="2"/>
  <c r="G70" i="2"/>
  <c r="G46" i="7"/>
  <c r="C46" i="7" s="1"/>
  <c r="J48" i="1" s="1"/>
  <c r="N53" i="2"/>
  <c r="G47" i="7" l="1"/>
  <c r="C47" i="7" s="1"/>
  <c r="J49" i="1" s="1"/>
  <c r="G48" i="7"/>
  <c r="G70" i="7"/>
  <c r="C70" i="7" s="1"/>
  <c r="J72" i="1" s="1"/>
  <c r="G47" i="11"/>
  <c r="G70" i="11"/>
  <c r="G48" i="11"/>
  <c r="E47" i="11"/>
  <c r="E70" i="11"/>
  <c r="E48" i="11"/>
  <c r="C70" i="11" l="1"/>
  <c r="K72" i="1" s="1"/>
  <c r="C47" i="11"/>
  <c r="K49" i="1" s="1"/>
  <c r="C41" i="2" l="1"/>
  <c r="I43" i="1" s="1"/>
  <c r="C42" i="2" l="1"/>
  <c r="I44" i="1" s="1"/>
  <c r="D73" i="2" l="1"/>
  <c r="C73" i="2" s="1"/>
  <c r="I75" i="1" s="1"/>
  <c r="C44" i="2"/>
  <c r="I46" i="1" s="1"/>
  <c r="C45" i="2"/>
  <c r="I47" i="1" s="1"/>
  <c r="C43" i="2"/>
  <c r="I45" i="1" s="1"/>
  <c r="C46" i="2" l="1"/>
  <c r="I48" i="1" s="1"/>
  <c r="C47" i="2" l="1"/>
  <c r="I49" i="1" s="1"/>
  <c r="D70" i="2"/>
  <c r="C70" i="2" s="1"/>
  <c r="I72" i="1" s="1"/>
  <c r="C48" i="2"/>
  <c r="I50" i="1" s="1"/>
  <c r="C51" i="2" l="1"/>
  <c r="I53" i="1" s="1"/>
  <c r="C49" i="2"/>
  <c r="I51" i="1" s="1"/>
  <c r="D77" i="2"/>
  <c r="C77" i="2" s="1"/>
  <c r="I79" i="1" s="1"/>
  <c r="D76" i="2"/>
  <c r="C76" i="2" s="1"/>
  <c r="I78" i="1" s="1"/>
  <c r="L78" i="2"/>
  <c r="D78" i="2" s="1"/>
  <c r="C78" i="2" s="1"/>
  <c r="I80" i="1" s="1"/>
  <c r="C52" i="2" l="1"/>
  <c r="I54" i="1" s="1"/>
  <c r="D72" i="2"/>
  <c r="C72" i="2" s="1"/>
  <c r="I74" i="1" s="1"/>
  <c r="D74" i="2"/>
  <c r="C74" i="2" s="1"/>
  <c r="I76" i="1" s="1"/>
  <c r="D75" i="2"/>
  <c r="C75" i="2" s="1"/>
  <c r="I77" i="1" s="1"/>
  <c r="F52" i="7"/>
  <c r="C52" i="7" s="1"/>
  <c r="J54" i="1" s="1"/>
  <c r="F77" i="7"/>
  <c r="C77" i="7" s="1"/>
  <c r="J79" i="1" s="1"/>
  <c r="F75" i="7"/>
  <c r="C75" i="7" s="1"/>
  <c r="J77" i="1" s="1"/>
  <c r="F74" i="7"/>
  <c r="C74" i="7" s="1"/>
  <c r="J76" i="1" s="1"/>
  <c r="F78" i="7"/>
  <c r="C78" i="7" s="1"/>
  <c r="J80" i="1" s="1"/>
  <c r="F49" i="7"/>
  <c r="C49" i="7" s="1"/>
  <c r="J51" i="1" s="1"/>
  <c r="F76" i="7"/>
  <c r="C76" i="7" s="1"/>
  <c r="J78" i="1" s="1"/>
  <c r="F72" i="7"/>
  <c r="C72" i="7" s="1"/>
  <c r="J74" i="1" s="1"/>
  <c r="F50" i="7"/>
  <c r="C50" i="7" s="1"/>
  <c r="J52" i="1" s="1"/>
  <c r="F48" i="7"/>
  <c r="C48" i="7" s="1"/>
  <c r="J50" i="1" s="1"/>
  <c r="F51" i="7"/>
  <c r="C51" i="7" s="1"/>
  <c r="J53" i="1" s="1"/>
  <c r="F78" i="11"/>
  <c r="C78" i="11" s="1"/>
  <c r="K80" i="1" s="1"/>
  <c r="F72" i="11"/>
  <c r="C72" i="11" s="1"/>
  <c r="K74" i="1" s="1"/>
  <c r="F75" i="11"/>
  <c r="C75" i="11" s="1"/>
  <c r="K77" i="1" s="1"/>
  <c r="F74" i="11"/>
  <c r="C74" i="11" s="1"/>
  <c r="K76" i="1" s="1"/>
  <c r="F50" i="11"/>
  <c r="C50" i="11" s="1"/>
  <c r="K52" i="1" s="1"/>
  <c r="F77" i="11"/>
  <c r="C77" i="11" s="1"/>
  <c r="K79" i="1" s="1"/>
  <c r="F48" i="11"/>
  <c r="C48" i="11" s="1"/>
  <c r="K50" i="1" s="1"/>
  <c r="F52" i="11"/>
  <c r="C52" i="11" s="1"/>
  <c r="K54" i="1" s="1"/>
  <c r="F49" i="11"/>
  <c r="C49" i="11" s="1"/>
  <c r="K51" i="1" s="1"/>
  <c r="F76" i="11"/>
  <c r="C76" i="11" s="1"/>
  <c r="K78" i="1" s="1"/>
  <c r="F51" i="11"/>
  <c r="C51" i="11" s="1"/>
  <c r="K53" i="1" s="1"/>
  <c r="D59" i="16"/>
  <c r="C59" i="16" s="1"/>
  <c r="D22" i="16" l="1"/>
  <c r="D6" i="16"/>
  <c r="D31" i="16" l="1"/>
  <c r="D28" i="16"/>
  <c r="D10" i="16"/>
  <c r="D51" i="16"/>
  <c r="D20" i="16" l="1"/>
  <c r="D69" i="16"/>
  <c r="D72" i="16"/>
  <c r="D65" i="16"/>
  <c r="D48" i="16" l="1"/>
  <c r="D13" i="16"/>
  <c r="D43" i="16"/>
  <c r="D67" i="16"/>
  <c r="D63" i="16"/>
  <c r="D30" i="16"/>
  <c r="D73" i="16"/>
  <c r="D57" i="16"/>
  <c r="D66" i="16"/>
  <c r="D40" i="16"/>
  <c r="D26" i="16"/>
  <c r="D27" i="16"/>
  <c r="D18" i="16"/>
  <c r="D8" i="16"/>
  <c r="D32" i="16" l="1"/>
  <c r="D42" i="16"/>
  <c r="D49" i="16"/>
  <c r="D21" i="16"/>
  <c r="D58" i="16"/>
  <c r="D38" i="16"/>
  <c r="D60" i="16"/>
  <c r="D9" i="16"/>
  <c r="D25" i="16"/>
  <c r="D62" i="16"/>
  <c r="D64" i="16"/>
  <c r="D7" i="16"/>
  <c r="D70" i="16"/>
  <c r="D47" i="16"/>
  <c r="D76" i="16"/>
  <c r="D74" i="16"/>
  <c r="D46" i="16"/>
  <c r="D11" i="16"/>
  <c r="D39" i="16"/>
  <c r="D37" i="16"/>
  <c r="D33" i="16"/>
  <c r="D75" i="16"/>
  <c r="D52" i="16"/>
  <c r="D17" i="16"/>
  <c r="D77" i="16"/>
  <c r="D23" i="16"/>
  <c r="D78" i="16"/>
  <c r="D44" i="16"/>
  <c r="D16" i="16" l="1"/>
  <c r="D45" i="16" l="1"/>
  <c r="D56" i="16"/>
  <c r="D41" i="16"/>
  <c r="D61" i="16"/>
  <c r="D15" i="16"/>
  <c r="D14" i="16"/>
  <c r="D50" i="16"/>
  <c r="F60" i="16" l="1"/>
  <c r="F64" i="16"/>
  <c r="E65" i="16" l="1"/>
  <c r="E57" i="16" l="1"/>
  <c r="G65" i="16"/>
  <c r="G57" i="16" l="1"/>
  <c r="F65" i="16" l="1"/>
  <c r="C65" i="16" s="1"/>
  <c r="L67" i="1" s="1"/>
  <c r="E60" i="16" l="1"/>
  <c r="E64" i="16"/>
  <c r="G47" i="16" l="1"/>
  <c r="G39" i="16"/>
  <c r="G38" i="16"/>
  <c r="G41" i="16"/>
  <c r="G37" i="16"/>
  <c r="E58" i="16"/>
  <c r="E56" i="16"/>
  <c r="G61" i="16"/>
  <c r="G63" i="16" l="1"/>
  <c r="G60" i="16" l="1"/>
  <c r="C60" i="16" s="1"/>
  <c r="L62" i="1" s="1"/>
  <c r="G42" i="16" l="1"/>
  <c r="G40" i="16"/>
  <c r="G64" i="16"/>
  <c r="C64" i="16" s="1"/>
  <c r="L66" i="1" s="1"/>
  <c r="G66" i="16"/>
  <c r="G67" i="16"/>
  <c r="G56" i="16"/>
  <c r="G58" i="16"/>
  <c r="G43" i="16" l="1"/>
  <c r="G48" i="16" l="1"/>
  <c r="G70" i="16"/>
  <c r="G73" i="16"/>
  <c r="G44" i="16"/>
  <c r="G46" i="16" l="1"/>
  <c r="G49" i="16"/>
  <c r="G45" i="16"/>
  <c r="F50" i="16" l="1"/>
  <c r="F47" i="16"/>
  <c r="F45" i="16"/>
  <c r="F38" i="16"/>
  <c r="F41" i="16"/>
  <c r="F39" i="16"/>
  <c r="F37" i="16"/>
  <c r="F61" i="16" l="1"/>
  <c r="F66" i="16"/>
  <c r="F63" i="16"/>
  <c r="F67" i="16"/>
  <c r="F42" i="16" l="1"/>
  <c r="F40" i="16"/>
  <c r="F43" i="16" l="1"/>
  <c r="E47" i="16" l="1"/>
  <c r="C47" i="16" s="1"/>
  <c r="L49" i="1" s="1"/>
  <c r="E38" i="16"/>
  <c r="C38" i="16" s="1"/>
  <c r="L40" i="1" s="1"/>
  <c r="E40" i="16"/>
  <c r="C40" i="16" s="1"/>
  <c r="L42" i="1" s="1"/>
  <c r="E39" i="16"/>
  <c r="C39" i="16" s="1"/>
  <c r="L41" i="1" s="1"/>
  <c r="E45" i="16"/>
  <c r="C45" i="16" s="1"/>
  <c r="L47" i="1" s="1"/>
  <c r="E42" i="16"/>
  <c r="C42" i="16" s="1"/>
  <c r="L44" i="1" s="1"/>
  <c r="E41" i="16"/>
  <c r="C41" i="16" s="1"/>
  <c r="L43" i="1" s="1"/>
  <c r="E43" i="16"/>
  <c r="C43" i="16" s="1"/>
  <c r="L45" i="1" s="1"/>
  <c r="E50" i="16"/>
  <c r="E37" i="16"/>
  <c r="C37" i="16" s="1"/>
  <c r="L39" i="1" s="1"/>
  <c r="F48" i="16"/>
  <c r="F76" i="16"/>
  <c r="F70" i="16"/>
  <c r="F73" i="16"/>
  <c r="F46" i="16"/>
  <c r="F44" i="16"/>
  <c r="E61" i="16"/>
  <c r="C61" i="16" s="1"/>
  <c r="L63" i="1" s="1"/>
  <c r="G51" i="16" l="1"/>
  <c r="G76" i="16"/>
  <c r="E48" i="16"/>
  <c r="C48" i="16" s="1"/>
  <c r="L50" i="1" s="1"/>
  <c r="F51" i="16"/>
  <c r="E70" i="16"/>
  <c r="C70" i="16" s="1"/>
  <c r="L72" i="1" s="1"/>
  <c r="E46" i="16"/>
  <c r="C46" i="16" s="1"/>
  <c r="L48" i="1" s="1"/>
  <c r="E76" i="16"/>
  <c r="E44" i="16"/>
  <c r="C44" i="16" s="1"/>
  <c r="L46" i="1" s="1"/>
  <c r="E73" i="16"/>
  <c r="C73" i="16" s="1"/>
  <c r="L75" i="1" s="1"/>
  <c r="F49" i="16"/>
  <c r="E66" i="16"/>
  <c r="C66" i="16" s="1"/>
  <c r="L68" i="1" s="1"/>
  <c r="E63" i="16"/>
  <c r="C63" i="16" s="1"/>
  <c r="L65" i="1" s="1"/>
  <c r="E67" i="16"/>
  <c r="C67" i="16" s="1"/>
  <c r="L69" i="1" s="1"/>
  <c r="G50" i="16"/>
  <c r="C50" i="16" s="1"/>
  <c r="L52" i="1" s="1"/>
  <c r="C76" i="16" l="1"/>
  <c r="L78" i="1" s="1"/>
  <c r="E51" i="16"/>
  <c r="C51" i="16" s="1"/>
  <c r="L53" i="1" s="1"/>
  <c r="G72" i="16"/>
  <c r="G75" i="16"/>
  <c r="G52" i="16"/>
  <c r="F75" i="16"/>
  <c r="F72" i="16"/>
  <c r="F52" i="16"/>
  <c r="E49" i="16"/>
  <c r="C49" i="16" s="1"/>
  <c r="L51" i="1" s="1"/>
  <c r="E75" i="16" l="1"/>
  <c r="C75" i="16" s="1"/>
  <c r="L77" i="1" s="1"/>
  <c r="E72" i="16"/>
  <c r="C72" i="16" s="1"/>
  <c r="L74" i="1" s="1"/>
  <c r="E52" i="16"/>
  <c r="C52" i="16" s="1"/>
  <c r="L54" i="1" s="1"/>
  <c r="F57" i="16" l="1"/>
  <c r="C57" i="16" s="1"/>
  <c r="L59" i="1" s="1"/>
  <c r="F58" i="16" l="1"/>
  <c r="C58" i="16" s="1"/>
  <c r="L60" i="1" s="1"/>
  <c r="F56" i="16"/>
  <c r="C56" i="16" s="1"/>
  <c r="L58" i="1" s="1"/>
  <c r="G77" i="16"/>
  <c r="E77" i="16"/>
  <c r="E17" i="16"/>
  <c r="G7" i="16" l="1"/>
  <c r="G30" i="16"/>
  <c r="G14" i="16"/>
  <c r="G8" i="16"/>
  <c r="G26" i="16"/>
  <c r="G25" i="16"/>
  <c r="G27" i="16"/>
  <c r="G21" i="16"/>
  <c r="G31" i="16"/>
  <c r="G32" i="16"/>
  <c r="G15" i="16"/>
  <c r="G22" i="16"/>
  <c r="G20" i="16"/>
  <c r="G6" i="16"/>
  <c r="G23" i="16"/>
  <c r="G28" i="16"/>
  <c r="G69" i="16"/>
  <c r="G33" i="16"/>
  <c r="G62" i="16"/>
  <c r="G10" i="16"/>
  <c r="G9" i="16"/>
  <c r="G11" i="16"/>
  <c r="G18" i="16"/>
  <c r="G78" i="16"/>
  <c r="G74" i="16"/>
  <c r="G13" i="16"/>
  <c r="G16" i="16"/>
  <c r="G17" i="16"/>
  <c r="F77" i="16"/>
  <c r="C77" i="16" s="1"/>
  <c r="L79" i="1" s="1"/>
  <c r="F17" i="16"/>
  <c r="C17" i="16" s="1"/>
  <c r="L15" i="1" s="1"/>
  <c r="E8" i="16"/>
  <c r="E14" i="16"/>
  <c r="E31" i="16"/>
  <c r="E30" i="16"/>
  <c r="E32" i="16"/>
  <c r="E25" i="16"/>
  <c r="E26" i="16"/>
  <c r="E27" i="16"/>
  <c r="E21" i="16"/>
  <c r="E15" i="16"/>
  <c r="E7" i="16"/>
  <c r="E6" i="16"/>
  <c r="E22" i="16"/>
  <c r="E20" i="16"/>
  <c r="E23" i="16"/>
  <c r="E69" i="16"/>
  <c r="E28" i="16"/>
  <c r="E33" i="16"/>
  <c r="E10" i="16"/>
  <c r="E9" i="16"/>
  <c r="E11" i="16"/>
  <c r="E62" i="16"/>
  <c r="E78" i="16"/>
  <c r="E74" i="16"/>
  <c r="E18" i="16"/>
  <c r="E13" i="16"/>
  <c r="E16" i="16"/>
  <c r="F31" i="16" l="1"/>
  <c r="C31" i="16" s="1"/>
  <c r="L32" i="1" s="1"/>
  <c r="F30" i="16"/>
  <c r="C30" i="16" s="1"/>
  <c r="L31" i="1" s="1"/>
  <c r="F32" i="16"/>
  <c r="C32" i="16" s="1"/>
  <c r="L33" i="1" s="1"/>
  <c r="F15" i="16"/>
  <c r="C15" i="16" s="1"/>
  <c r="L13" i="1" s="1"/>
  <c r="F8" i="16"/>
  <c r="C8" i="16" s="1"/>
  <c r="L5" i="1" s="1"/>
  <c r="F25" i="16"/>
  <c r="C25" i="16" s="1"/>
  <c r="L24" i="1" s="1"/>
  <c r="F26" i="16"/>
  <c r="C26" i="16" s="1"/>
  <c r="L25" i="1" s="1"/>
  <c r="F27" i="16"/>
  <c r="C27" i="16" s="1"/>
  <c r="L26" i="1" s="1"/>
  <c r="F9" i="16"/>
  <c r="C9" i="16" s="1"/>
  <c r="L6" i="1" s="1"/>
  <c r="F20" i="16"/>
  <c r="C20" i="16" s="1"/>
  <c r="L19" i="1" s="1"/>
  <c r="F6" i="16"/>
  <c r="C6" i="16" s="1"/>
  <c r="L3" i="1" s="1"/>
  <c r="F21" i="16"/>
  <c r="C21" i="16" s="1"/>
  <c r="L20" i="1" s="1"/>
  <c r="F62" i="16"/>
  <c r="C62" i="16" s="1"/>
  <c r="L64" i="1" s="1"/>
  <c r="F14" i="16"/>
  <c r="C14" i="16" s="1"/>
  <c r="L12" i="1" s="1"/>
  <c r="F22" i="16"/>
  <c r="C22" i="16" s="1"/>
  <c r="L21" i="1" s="1"/>
  <c r="F78" i="16"/>
  <c r="C78" i="16" s="1"/>
  <c r="L80" i="1" s="1"/>
  <c r="F23" i="16"/>
  <c r="C23" i="16" s="1"/>
  <c r="L22" i="1" s="1"/>
  <c r="F28" i="16"/>
  <c r="C28" i="16" s="1"/>
  <c r="L28" i="1" s="1"/>
  <c r="F69" i="16"/>
  <c r="C69" i="16" s="1"/>
  <c r="L71" i="1" s="1"/>
  <c r="F74" i="16"/>
  <c r="C74" i="16" s="1"/>
  <c r="L76" i="1" s="1"/>
  <c r="F33" i="16"/>
  <c r="C33" i="16" s="1"/>
  <c r="L35" i="1" s="1"/>
  <c r="F18" i="16"/>
  <c r="C18" i="16" s="1"/>
  <c r="L17" i="1" s="1"/>
  <c r="F13" i="16"/>
  <c r="C13" i="16" s="1"/>
  <c r="L11" i="1" s="1"/>
  <c r="F7" i="16"/>
  <c r="C7" i="16" s="1"/>
  <c r="L4" i="1" s="1"/>
  <c r="F10" i="16"/>
  <c r="C10" i="16" s="1"/>
  <c r="L7" i="1" s="1"/>
  <c r="F16" i="16"/>
  <c r="C16" i="16" s="1"/>
  <c r="L14" i="1" s="1"/>
  <c r="F11" i="16"/>
  <c r="C11" i="16" s="1"/>
  <c r="L8" i="1" s="1"/>
</calcChain>
</file>

<file path=xl/sharedStrings.xml><?xml version="1.0" encoding="utf-8"?>
<sst xmlns="http://schemas.openxmlformats.org/spreadsheetml/2006/main" count="7029" uniqueCount="808">
  <si>
    <t>Tech</t>
  </si>
  <si>
    <t>Pharma</t>
  </si>
  <si>
    <t>Oil &amp; Gas</t>
  </si>
  <si>
    <t>Porcentajes del balance general</t>
  </si>
  <si>
    <t>A</t>
  </si>
  <si>
    <t>B</t>
  </si>
  <si>
    <t>C</t>
  </si>
  <si>
    <t>D</t>
  </si>
  <si>
    <t>Balance Sheet</t>
  </si>
  <si>
    <t>O&amp;G</t>
  </si>
  <si>
    <t>Biotech</t>
  </si>
  <si>
    <t>Efectivo</t>
  </si>
  <si>
    <t>Cash &amp; Cash Equivalents</t>
  </si>
  <si>
    <t>Inversiones temporales</t>
  </si>
  <si>
    <t>Short-Term Investments - Total</t>
  </si>
  <si>
    <t>Cuentas por cobrar</t>
  </si>
  <si>
    <t>Trade Accounts &amp; Trade Notes Receivable - Net</t>
  </si>
  <si>
    <t>Inventarios</t>
  </si>
  <si>
    <t>Inventories - Total</t>
  </si>
  <si>
    <t>Otros activos corrientes</t>
  </si>
  <si>
    <t>Other Current Assets</t>
  </si>
  <si>
    <t>Total Activo Corriente/Total Activos</t>
  </si>
  <si>
    <t>Total Current Assets</t>
  </si>
  <si>
    <t>PPE neto/Total Activos</t>
  </si>
  <si>
    <t>PPE/Total Activos</t>
  </si>
  <si>
    <t>Investments - Long-Term</t>
  </si>
  <si>
    <t>Depreciación Acumulada/Total Activos</t>
  </si>
  <si>
    <t>Property, Plant &amp; Equipment - Net - Total</t>
  </si>
  <si>
    <t>Inversiones a largo plazo/Total Activos</t>
  </si>
  <si>
    <t>Intangible Assets - Total - Net</t>
  </si>
  <si>
    <t>Otros Activos a largo Plazo</t>
  </si>
  <si>
    <t>Other Non-Current Assets</t>
  </si>
  <si>
    <t>Total Activo No Corriente/Total Activos</t>
  </si>
  <si>
    <t>Total Non-Current Assets</t>
  </si>
  <si>
    <t>Total Activos/Total Activos</t>
  </si>
  <si>
    <t>Total Assets</t>
  </si>
  <si>
    <t>Cuentas por pagar/Total Activo</t>
  </si>
  <si>
    <t>Trade Accounts &amp; Trade Notes Payable - Short-Term</t>
  </si>
  <si>
    <t>Obligaciones financieras CP/Total Activo</t>
  </si>
  <si>
    <t>Short-Term Debt &amp; Current Portion of Long-Term Debt</t>
  </si>
  <si>
    <t>Otros pasivos corto plazo/Total Activo</t>
  </si>
  <si>
    <t>Other Current Liabilities</t>
  </si>
  <si>
    <t>Pasivo corriente/Total Activo</t>
  </si>
  <si>
    <t>Total Current Liabilities</t>
  </si>
  <si>
    <t>Obligaciones financieras LP/Total Activo</t>
  </si>
  <si>
    <t>Debt - Long-Term - Total</t>
  </si>
  <si>
    <t>Otros pasivos LP/Total Activo</t>
  </si>
  <si>
    <t>Other Non-Current Liabilities</t>
  </si>
  <si>
    <t>Pasivo No corriente/Total Activo</t>
  </si>
  <si>
    <t>Total Non-Current Liabilities</t>
  </si>
  <si>
    <t>Total pasivo/Total Activo</t>
  </si>
  <si>
    <t>Total Liabilities</t>
  </si>
  <si>
    <t>Acciones Preferenciales/Total Activo</t>
  </si>
  <si>
    <t>Common Equity - Total</t>
  </si>
  <si>
    <t>Interes Minoritario/Total Activo</t>
  </si>
  <si>
    <t>Other Shareholders' Equity</t>
  </si>
  <si>
    <t>Capital suscrito/Total Activo</t>
  </si>
  <si>
    <t>Total Shareholders' Equity - including Minority Interest &amp; Hybrid Debt</t>
  </si>
  <si>
    <t>Total patrimonio/Total Activo</t>
  </si>
  <si>
    <t>Total Pasivo y Patrimonio/Total Activos</t>
  </si>
  <si>
    <t>Total Liabilities &amp; Equity</t>
  </si>
  <si>
    <t>Indicadores Seleccionados</t>
  </si>
  <si>
    <t>Financial Statement</t>
  </si>
  <si>
    <t>ROE</t>
  </si>
  <si>
    <t>Revenue from Business Activities - Total</t>
  </si>
  <si>
    <t>Margen operacional</t>
  </si>
  <si>
    <t>Cost of Sales</t>
  </si>
  <si>
    <t>Prueba Acida</t>
  </si>
  <si>
    <t>Gross Profit - Industrials/Property - Total</t>
  </si>
  <si>
    <t>Razon corriente</t>
  </si>
  <si>
    <t>Selling, General &amp; Administrative Expenses excluding Research &amp; Development Expenses</t>
  </si>
  <si>
    <t>Días de inventario</t>
  </si>
  <si>
    <t>Research &amp; Development Expense - Supplemental</t>
  </si>
  <si>
    <t>Días de cuentas por cobrar</t>
  </si>
  <si>
    <t>—</t>
  </si>
  <si>
    <t>Rotación de activos totales</t>
  </si>
  <si>
    <t>Operating Expenses - Total</t>
  </si>
  <si>
    <t>Rotación de activos fijos netos</t>
  </si>
  <si>
    <t>Earnings before Interest &amp; Taxes (EBIT)</t>
  </si>
  <si>
    <t>Depreciation, Depletion &amp; Amortization - Total</t>
  </si>
  <si>
    <t>Earnings before Interest, Taxes, Depreciation &amp; Amortization (EBITDA)</t>
  </si>
  <si>
    <t>Interest Expense - Net of (Interest Income)</t>
  </si>
  <si>
    <t>Other</t>
  </si>
  <si>
    <t>Income before Taxes</t>
  </si>
  <si>
    <t>Income Taxes</t>
  </si>
  <si>
    <t>Net Income after Minority Interest</t>
  </si>
  <si>
    <t>Average</t>
  </si>
  <si>
    <t>Conoco</t>
  </si>
  <si>
    <t>Chevron</t>
  </si>
  <si>
    <t>Exxon</t>
  </si>
  <si>
    <t>Valero</t>
  </si>
  <si>
    <t>ICON</t>
  </si>
  <si>
    <t>%</t>
  </si>
  <si>
    <t>Check</t>
  </si>
  <si>
    <t>Company Fundamentals - Balance Sheet</t>
  </si>
  <si>
    <t>Company Name</t>
  </si>
  <si>
    <t>ConocoPhillips (COP.N)</t>
  </si>
  <si>
    <t>Country of Exchange</t>
  </si>
  <si>
    <t>United States of America</t>
  </si>
  <si>
    <t>Country of Headquarters</t>
  </si>
  <si>
    <t>TRBC Industry Group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</si>
  <si>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</si>
  <si>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</si>
  <si>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</si>
  <si>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</si>
  <si>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</si>
  <si>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</si>
  <si>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</si>
  <si>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</si>
  <si>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</si>
  <si>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</si>
  <si>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</si>
  <si>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2025</t>
  </si>
  <si>
    <t>Period End Date</t>
  </si>
  <si>
    <t>Standardized Currency</t>
  </si>
  <si>
    <t>USD</t>
  </si>
  <si>
    <t>Balance Sheet - Standardized (Currency: US Dollar)</t>
  </si>
  <si>
    <t>Field Name</t>
  </si>
  <si>
    <t>30-12-2024</t>
  </si>
  <si>
    <t>30-12-2025</t>
  </si>
  <si>
    <t>Current Assets</t>
  </si>
  <si>
    <t>Cash &amp; Short-Term Investments</t>
  </si>
  <si>
    <t>Loans &amp; Receivables - Net - Short-Term</t>
  </si>
  <si>
    <t>Trade Accounts &amp; Trade Notes Receivable - Gross</t>
  </si>
  <si>
    <t>Provision - Trade Accounts &amp; Trade Notes Receivable</t>
  </si>
  <si>
    <t>Inventories - Raw Materials</t>
  </si>
  <si>
    <t>Inventories - Finished Goods</t>
  </si>
  <si>
    <t>Prepaid Expenses - Short-Term</t>
  </si>
  <si>
    <t>Non-Current Assets</t>
  </si>
  <si>
    <t>Investments - Available for Sale/Held to Maturity - Long-Term</t>
  </si>
  <si>
    <t>Investments in Associates, Joint Ventures and Unconsolidated Subsidiaries</t>
  </si>
  <si>
    <t>Receivables &amp; Loans - Long-Term</t>
  </si>
  <si>
    <t>Accounts &amp; Notes Receivable - Trade - Net - Long-Term</t>
  </si>
  <si>
    <t>Property, Plant &amp; Equipment - excluding Assets Leased Out - Net - Total</t>
  </si>
  <si>
    <t>Property, Plant &amp; Equipment - Gross - Total</t>
  </si>
  <si>
    <t>Property, Plant &amp; Equipment - excluding Assets Leased Out - Gross</t>
  </si>
  <si>
    <t>Right of Use Tangible Assets - Total - Gross</t>
  </si>
  <si>
    <t>Right of Use Tangible Assets - Operating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</si>
  <si>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</si>
  <si>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</si>
  <si>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</si>
  <si>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Other Non-Current Assets - Total</t>
  </si>
  <si>
    <t>Restricted Accounts - Long-Term</t>
  </si>
  <si>
    <t>Current Liabilities</t>
  </si>
  <si>
    <t>Trade Accounts Payable &amp; Accruals - Short-Term</t>
  </si>
  <si>
    <t>Accrued Expenses - Short-Term</t>
  </si>
  <si>
    <t>Current Portion of Long-Term Debt including Capitalized Leases</t>
  </si>
  <si>
    <t>Current Portion of Long-Term Debt excluding Capitalized Leases</t>
  </si>
  <si>
    <t>Capitalized Leases - Current Portion</t>
  </si>
  <si>
    <t>Income Taxes - Payable - Short-Term</t>
  </si>
  <si>
    <t>Operating Lease Liabilities - Current Portion/Short-Term</t>
  </si>
  <si>
    <t>Non-Current Liabilities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</si>
  <si>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</si>
  <si>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</si>
  <si>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</si>
  <si>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</si>
  <si>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</si>
  <si>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Operating Lease Liabilities - Long-Term</t>
  </si>
  <si>
    <t>Other Non-Current Liabilities - Total</t>
  </si>
  <si>
    <t>Provisions - Long-Term</t>
  </si>
  <si>
    <t>Post Employment Benefits - Pension &amp; Other - Long-Term</t>
  </si>
  <si>
    <t>Asset Retirement Obligation - Long-Term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</si>
  <si>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</si>
  <si>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</si>
  <si>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</si>
  <si>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</si>
  <si>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</si>
  <si>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</si>
  <si>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</si>
  <si>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</si>
  <si>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</si>
  <si>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</si>
  <si>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</si>
  <si>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</si>
  <si>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</si>
  <si>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</si>
  <si>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Total Shareholders' Equity</t>
  </si>
  <si>
    <t>Total Liabilities &amp; Shareholders'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</si>
  <si>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</si>
  <si>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</si>
  <si>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</si>
  <si>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</si>
  <si>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</si>
  <si>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</si>
  <si>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</si>
  <si>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</si>
  <si>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</si>
  <si>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</si>
  <si>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</si>
  <si>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</si>
  <si>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</si>
  <si>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</si>
  <si>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</si>
  <si>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</si>
  <si>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</si>
  <si>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Current Portion/Short-Term - Supplemental</t>
  </si>
  <si>
    <t>Operating Lease Liabilities - Long-Term - Supplemental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</si>
  <si>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</si>
  <si>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</si>
  <si>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</si>
  <si>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</si>
  <si>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</si>
  <si>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Accounts &amp; Notes Receivable - Trade - Gross - Total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</si>
  <si>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</si>
  <si>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</si>
  <si>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</si>
  <si>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</si>
  <si>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</si>
  <si>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Debt Related</t>
  </si>
  <si>
    <t>Net Debt</t>
  </si>
  <si>
    <t>Debt - Total</t>
  </si>
  <si>
    <t>Revolving Line of Credit - Outstanding - Supplemental</t>
  </si>
  <si>
    <t>Revolving Line of Credit - Unutilized/Unused Amount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</si>
  <si>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</si>
  <si>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</si>
  <si>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</si>
  <si>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</si>
  <si>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</si>
  <si>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</si>
  <si>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</si>
  <si>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</si>
  <si>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- 2-3 Years</t>
  </si>
  <si>
    <t>Debt - Long-Term - Maturities - 4-5 Years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</si>
  <si>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</si>
  <si>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</si>
  <si>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</si>
  <si>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</si>
  <si>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</si>
  <si>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</si>
  <si>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</si>
  <si>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</si>
  <si>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Interest Costs</t>
  </si>
  <si>
    <t>Capital Lease Maturities - Due in 2-3 Years</t>
  </si>
  <si>
    <t>Capital Lease Maturities - Due in 4-5 Years</t>
  </si>
  <si>
    <t>Capital Lease Maturities - Due in Year 6 &amp; Beyond</t>
  </si>
  <si>
    <t>Weighted Average Leases</t>
  </si>
  <si>
    <t>Wgt Avg Remaining Lease Term (Years)-Operating Lease-US GAAP</t>
  </si>
  <si>
    <t>Wgt Avg Remaining Lease Term (Years) - Finance Lease</t>
  </si>
  <si>
    <t>Weighted Average Discount Rate - Operating Lease - US GAAP</t>
  </si>
  <si>
    <t>Weighted Average Discount Rate - Finance Lease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</si>
  <si>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</si>
  <si>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</si>
  <si>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</si>
  <si>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</si>
  <si>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</si>
  <si>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</si>
  <si>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</si>
  <si>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</si>
  <si>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</si>
  <si>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</si>
  <si>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</si>
  <si>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</si>
  <si>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</si>
  <si>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</si>
  <si>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</si>
  <si>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</si>
  <si>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</si>
  <si>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</si>
  <si>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</si>
  <si>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</si>
  <si>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</si>
  <si>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</si>
  <si>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</si>
  <si>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</si>
  <si>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</si>
  <si>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</si>
  <si>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</si>
  <si>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</si>
  <si>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</si>
  <si>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</si>
  <si>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</si>
  <si>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</si>
  <si>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</si>
  <si>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Employees</t>
  </si>
  <si>
    <t>Employees - Full-Time/Full-Time Equivalents - Period End</t>
  </si>
  <si>
    <t>Employees - Full-Time/Full-Time Equivalents - Current Date</t>
  </si>
  <si>
    <t>Income Statement - Standardized (Currency: US Dollar)</t>
  </si>
  <si>
    <t>Revenues</t>
  </si>
  <si>
    <t>Revenue from Goods &amp; Services</t>
  </si>
  <si>
    <t>Sales of Goods &amp; Services - Net - Unclassified</t>
  </si>
  <si>
    <t>Operating Expenses</t>
  </si>
  <si>
    <t>Cost of Operating Revenue</t>
  </si>
  <si>
    <t>Cost of Revenues - Total</t>
  </si>
  <si>
    <t>Cost of Revenues - Unclassified</t>
  </si>
  <si>
    <t>Depreciation in Cost of Revenues</t>
  </si>
  <si>
    <t>Cost of Revenues - Other - Total</t>
  </si>
  <si>
    <t>Selling, General &amp; Administrative Expenses - Total</t>
  </si>
  <si>
    <t>Selling, General &amp; Administrative Expenses - Unclassified</t>
  </si>
  <si>
    <t>Exploration/Dry Hole Expenses (including Write-Off)</t>
  </si>
  <si>
    <t>Selling, General &amp; Administrative Expenses - Other - Total</t>
  </si>
  <si>
    <t>Property &amp; Other Taxes</t>
  </si>
  <si>
    <t>Other Operating Expense/(Income) - Net</t>
  </si>
  <si>
    <t>Operating Profit</t>
  </si>
  <si>
    <t>Operating Profit before Non-Recurring Income/Expense</t>
  </si>
  <si>
    <t>Non-Operating Expenses</t>
  </si>
  <si>
    <t>Financing Income/(Expense) - Net - Total</t>
  </si>
  <si>
    <t>Interest Income - Non-Bank</t>
  </si>
  <si>
    <t>Interest Expense - Net of Capitalized Interest</t>
  </si>
  <si>
    <t>Interest Expense on Capital Financing - Gross</t>
  </si>
  <si>
    <t>Interest Capitalized</t>
  </si>
  <si>
    <t>Non-Interest Financial Income/(Expense) - Total</t>
  </si>
  <si>
    <t>Foreign Exchange Gain/(Loss) - Non-Business</t>
  </si>
  <si>
    <t>Accretion - Site Closure &amp; Reclamation Expenses</t>
  </si>
  <si>
    <t>Equity Earnings/(Loss) - before Taxes including Non-Recurring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</si>
  <si>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</si>
  <si>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</si>
  <si>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</si>
  <si>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</si>
  <si>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</si>
  <si>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Oil &amp; Gas Assets</t>
  </si>
  <si>
    <t>Restructuring Charges</t>
  </si>
  <si>
    <t>Early Extinguishment of Lease Related Debts - Gain/(Loss)</t>
  </si>
  <si>
    <t>Sale &amp; Acquisition of Group Companies - Gain/(Loss)</t>
  </si>
  <si>
    <t>Pre-Tax Income</t>
  </si>
  <si>
    <t>Taxes</t>
  </si>
  <si>
    <t>Income Taxes for the Year - Current</t>
  </si>
  <si>
    <t>Income Taxes - Domestic - Current</t>
  </si>
  <si>
    <t>Income Taxes - Foreign - Current</t>
  </si>
  <si>
    <t>Income Taxes - Deferred</t>
  </si>
  <si>
    <t>Income Taxes - Domestic - Deferred</t>
  </si>
  <si>
    <t>Income Taxes - Foreign - Deferred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</si>
  <si>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</si>
  <si>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</si>
  <si>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</si>
  <si>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</si>
  <si>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</si>
  <si>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Extraordinary Items</t>
  </si>
  <si>
    <t>Net Income before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</si>
  <si>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</si>
  <si>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</si>
  <si>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</si>
  <si>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</si>
  <si>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</si>
  <si>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</si>
  <si>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</si>
  <si>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</si>
  <si>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</si>
  <si>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</si>
  <si>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</si>
  <si>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</si>
  <si>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</si>
  <si>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</si>
  <si>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</si>
  <si>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</si>
  <si>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</si>
  <si>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</si>
  <si>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</si>
  <si>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</si>
  <si>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</si>
  <si>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</si>
  <si>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</si>
  <si>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</si>
  <si>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</si>
  <si>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</si>
  <si>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</si>
  <si>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</si>
  <si>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</si>
  <si>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</si>
  <si>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</si>
  <si>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</si>
  <si>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</si>
  <si>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</si>
  <si>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</si>
  <si>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</si>
  <si>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</si>
  <si>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</si>
  <si>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</si>
  <si>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</si>
  <si>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</si>
  <si>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</si>
  <si>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</si>
  <si>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</si>
  <si>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</si>
  <si>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</si>
  <si>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</si>
  <si>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Interest, Taxes, Depreciation, Amortization &amp; Exploration Expenses (EBITDAX)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</si>
  <si>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</si>
  <si>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</si>
  <si>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</si>
  <si>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</si>
  <si>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</si>
  <si>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Depreciation/Amortization - Total</t>
  </si>
  <si>
    <t>Depreciation - Total</t>
  </si>
  <si>
    <t>Research &amp; Development</t>
  </si>
  <si>
    <t>Research &amp; Development Expense - Expensed &amp; Capitalized - Total - Supplemental</t>
  </si>
  <si>
    <t>Labor &amp; Related Expenses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</si>
  <si>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</si>
  <si>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</si>
  <si>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</si>
  <si>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</si>
  <si>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</si>
  <si>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</si>
  <si>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</si>
  <si>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</si>
  <si>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</si>
  <si>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</si>
  <si>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</si>
  <si>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</si>
  <si>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</si>
  <si>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</si>
  <si>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</si>
  <si>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</si>
  <si>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</si>
  <si>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Interest Expense on Financial Lease Liabilities - Supple</t>
  </si>
  <si>
    <t>Short-Term Lease Cost - Supplemental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</si>
  <si>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</si>
  <si>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</si>
  <si>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</si>
  <si>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</si>
  <si>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Chevron Corporation (CVX.N)</t>
  </si>
  <si>
    <t>Other Current Assets - Total</t>
  </si>
  <si>
    <t>Restricted Accounts - Short-Term</t>
  </si>
  <si>
    <t>Loans - Long-Term</t>
  </si>
  <si>
    <t>Provision - Doubtful Accounts - Long-Term</t>
  </si>
  <si>
    <t>Right of Use Tangible Assets - Total - Net</t>
  </si>
  <si>
    <t>Right of Use Tangible Assets - Operating Lease - Net</t>
  </si>
  <si>
    <t>Property, Plant &amp; Equipment - Other - Net</t>
  </si>
  <si>
    <t>Property, Plant &amp; Equipment - Other - Accumulated Depreciation &amp; Impairment</t>
  </si>
  <si>
    <t>Assets Held for Sale/Discontinued Operations - Long-Term</t>
  </si>
  <si>
    <t>Deferred Tax - Asset - Long-Term</t>
  </si>
  <si>
    <t>Deferred Charges - Long-Term</t>
  </si>
  <si>
    <t>Goodwill/Cost in Excess of Assets Purchased - Net</t>
  </si>
  <si>
    <t>Short-Term Debt &amp; Notes Payable</t>
  </si>
  <si>
    <t>Other Current Liabilities - Total</t>
  </si>
  <si>
    <t>Preferred Shareholders Equity</t>
  </si>
  <si>
    <t>Preferred Stock - Non-Redeemable</t>
  </si>
  <si>
    <t>Preferred Stock - Convertible - Non-Redeemable</t>
  </si>
  <si>
    <t>Other Reserves/Equity - Total</t>
  </si>
  <si>
    <t>Minority Interest - Equity</t>
  </si>
  <si>
    <t>Provision - Doubtful Accounts - Total</t>
  </si>
  <si>
    <t>Assets Held for Sale/Discontinued Operations - Long-Term &amp; Short-Term</t>
  </si>
  <si>
    <t>Debt - Long-Term - Maturities - Remaining</t>
  </si>
  <si>
    <t>Debt - Long-Term - Maturities - Year 6 &amp; Beyond</t>
  </si>
  <si>
    <t>Minority Interest - Total</t>
  </si>
  <si>
    <t>Working Capital excluding Other Current Assets &amp; Liabilities</t>
  </si>
  <si>
    <t>Material Expenses</t>
  </si>
  <si>
    <t>Materials Purchased</t>
  </si>
  <si>
    <t>Sale of Tangible &amp; Intangible Fixed Assets - Gain/(Loss)</t>
  </si>
  <si>
    <t>Other Non-Operating Income/(Expense) - Total</t>
  </si>
  <si>
    <t>Non-Recurring Adjustments - Non-Operating- Decrease/(Increase)</t>
  </si>
  <si>
    <t>Supplementary Adjustments - Non-Operating- Decrease/(Increase)</t>
  </si>
  <si>
    <t>Non-Recurring Income/(Expense) - Other - Total</t>
  </si>
  <si>
    <t>Minority Interest</t>
  </si>
  <si>
    <t>Comprehensive Income - Attributable to Minority Interest - Total</t>
  </si>
  <si>
    <t>Fees - Other</t>
  </si>
  <si>
    <t>Exxonmobil Holdings Corp (XOM.N)</t>
  </si>
  <si>
    <t>Loans - Short-Term</t>
  </si>
  <si>
    <t>Plant, Machinery &amp; Equipment - Gross</t>
  </si>
  <si>
    <t>Other Operating Income - Total</t>
  </si>
  <si>
    <t>Other Operating Expense</t>
  </si>
  <si>
    <t>Income Taxes - Other (by Type)</t>
  </si>
  <si>
    <t>Non-GAAP</t>
  </si>
  <si>
    <t>Non-GAAP Adjusted Net Earnings - Company Reported</t>
  </si>
  <si>
    <t>Valero Energy Corp (VLO.N)</t>
  </si>
  <si>
    <t>Income Tax - Receivables - Short-Term</t>
  </si>
  <si>
    <t>Receivables - Other - Total</t>
  </si>
  <si>
    <t>Inventories - Other - Total</t>
  </si>
  <si>
    <t>Receivables - Other - Net - Long-Term</t>
  </si>
  <si>
    <t>Land &amp; Buildings - Gross</t>
  </si>
  <si>
    <t>Land/Improvements - Gross</t>
  </si>
  <si>
    <t>Buildings - Gross</t>
  </si>
  <si>
    <t>Transportation Equipment - Gross</t>
  </si>
  <si>
    <t>Construction in Progress - Gross</t>
  </si>
  <si>
    <t>Right of Use Tangible Assets - Capital/Finance Lease - Gross</t>
  </si>
  <si>
    <t>Intangible Assets - excluding Goodwill - Net - Total</t>
  </si>
  <si>
    <t>Deferred Income - Short-Term</t>
  </si>
  <si>
    <t>Provisions - Short-Term</t>
  </si>
  <si>
    <t>Accounts Payable including Accrued Expenses - Long-Term</t>
  </si>
  <si>
    <t>Accrued Expenses - Long-Term</t>
  </si>
  <si>
    <t>Provisions - Environmental Obligations - Long-Term</t>
  </si>
  <si>
    <t>Contract Assets - Short-Term - Unbilled Revenue in Excess of Advance Consideration &amp; Progress Billings</t>
  </si>
  <si>
    <t>Contract Liabilities - Short-Term - Advance Consideration &amp; Progress Billings in Excess of Unbilled Revenue</t>
  </si>
  <si>
    <t>Unearned Revenue - Total</t>
  </si>
  <si>
    <t>Employees - Part-Time - Period End</t>
  </si>
  <si>
    <t>Revenue Taxes</t>
  </si>
  <si>
    <t>Gross Revenue from Business Activities - Total</t>
  </si>
  <si>
    <t>Material Expenses - Materials, Inventory, Own Work &amp; Utility - Unclassified</t>
  </si>
  <si>
    <t>Amortization - Total - Supplemental</t>
  </si>
  <si>
    <t>Amortization of Deferred Costs - Supplemental</t>
  </si>
  <si>
    <t>Amortization of Deferred Charges - Total</t>
  </si>
  <si>
    <t>Non-GAAP Income from Operations - Company Reported</t>
  </si>
  <si>
    <t>Variable Operating Lease Expenses - US GAAP - Supplemental</t>
  </si>
  <si>
    <t>Sublease Income - Supplemental</t>
  </si>
  <si>
    <t>IQVIA</t>
  </si>
  <si>
    <t>Legend</t>
  </si>
  <si>
    <t>INSM</t>
  </si>
  <si>
    <t>2025 (USD mm)</t>
  </si>
  <si>
    <t>IQVIA Holdings Inc. (IQV.N)</t>
  </si>
  <si>
    <t>Biotechnology &amp; Medical Research</t>
  </si>
  <si>
    <t>Computer Software - Intangible Assets - Net</t>
  </si>
  <si>
    <t>Brands, Patents, Trademarks, Marketing &amp; Artistic Intangibles - Net</t>
  </si>
  <si>
    <t>Intangible Assets - Other - Net</t>
  </si>
  <si>
    <t>Comprehensive Income - Other - Total</t>
  </si>
  <si>
    <t>Order Backlog</t>
  </si>
  <si>
    <t>Amortization in Cost of Revenues</t>
  </si>
  <si>
    <t>Rental Expense</t>
  </si>
  <si>
    <t>Equity in Earnings/(Loss) of Affiliates (after Taxes)</t>
  </si>
  <si>
    <t>Intangible Amortization - Other - Supplemental</t>
  </si>
  <si>
    <t>Amortization of Intangible Assets excluding Goodwill - Total</t>
  </si>
  <si>
    <t>Inventories - Work in Progress</t>
  </si>
  <si>
    <t>Land &amp; Buildings - Net</t>
  </si>
  <si>
    <t>Land/Improvements - Net</t>
  </si>
  <si>
    <t>Buildings - Net</t>
  </si>
  <si>
    <t>Leasehold Improvements - Net</t>
  </si>
  <si>
    <t>Plant, Machinery &amp; Equipment - Net</t>
  </si>
  <si>
    <t>Construction in Progress - Net</t>
  </si>
  <si>
    <t>Right of Use Tangible Assets - Capital/Finance Lease - Net</t>
  </si>
  <si>
    <t>Leasehold Improvements - Gross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</si>
  <si>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</si>
  <si>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</si>
  <si>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</si>
  <si>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Leasehold Improvements - Accumulated Depreciation &amp; Impairment</t>
  </si>
  <si>
    <t>Plant, Machinery &amp; Equipment - Accumulated Depreciation &amp; Impairment</t>
  </si>
  <si>
    <t>Construction in Progress - Accumulated Depreciation &amp; Impairment</t>
  </si>
  <si>
    <t>Prepaid Expenses - Long-Term</t>
  </si>
  <si>
    <t>Intangible Assets - Gross - Total</t>
  </si>
  <si>
    <t>Intangible Assets - excluding Goodwill - Gross</t>
  </si>
  <si>
    <t>Computer Software - Intangible Assets - Gross</t>
  </si>
  <si>
    <t>Brands, Patents, Trademarks, Marketing &amp; Artistic Intangibles - Gross</t>
  </si>
  <si>
    <t>Intangible Assets - Accumulated Amortization &amp; Impairment - Total</t>
  </si>
  <si>
    <t>Intangible Assets - excluding Goodwill - Accumulated Amortization &amp; Impairment - Total</t>
  </si>
  <si>
    <t>Computer Software - Intangible Assets - Accumulated Amortization &amp; Impairment</t>
  </si>
  <si>
    <t>Brands, Patents, Trademarks, Marketing &amp; Artistic Intangibles - Accumulated Amortization &amp; Impairment</t>
  </si>
  <si>
    <t>Deferred Revenue - Long-Term</t>
  </si>
  <si>
    <t>Common Shares - Issued - Issue Specific - DR</t>
  </si>
  <si>
    <t>Common Shares - Outstanding - Issue Specific - DR</t>
  </si>
  <si>
    <t>Common Shares - Treasury - Issue Specific - DR</t>
  </si>
  <si>
    <t>Contract Liabilities - Long-Term - Advance Consideration &amp; Progress Billings in Excess of Unbilled Revenue</t>
  </si>
  <si>
    <t>Revenue from Business-Related Activities - Other - Total</t>
  </si>
  <si>
    <t>Research &amp; Development Expense</t>
  </si>
  <si>
    <t>Fair Value Adjustments - Financial Investments</t>
  </si>
  <si>
    <t>Shares used to calculate Basic EPS - Issue Specific - DR</t>
  </si>
  <si>
    <t>EPS - Basic - including Extraordinary Items Applicable to Common - Issue Specific - DR</t>
  </si>
  <si>
    <t>EPS - Basic - excluding Extraordinary Items Applicable to Common - Issue Specific - DR</t>
  </si>
  <si>
    <t>EPS - Basic - excluding Extraordinary Items - Normalized - Issue Specific - DR</t>
  </si>
  <si>
    <t>Comprehensive Earnings Per Share - Basic - Issue Specific - DR</t>
  </si>
  <si>
    <t>Shares used to calculate Diluted EPS - Issue Specific - DR</t>
  </si>
  <si>
    <t>EPS - Diluted - including Extraordinary Items Applicable to Common - Issue Specific - DR</t>
  </si>
  <si>
    <t>EPS - Diluted - excluding Extraordinary Items Applicable to Common - Issue Specific - DR</t>
  </si>
  <si>
    <t>EPS - Diluted - excluding Extraordinary Items - Normalized - Issue Specific - DR</t>
  </si>
  <si>
    <t>Comprehensive Earnings Per Share - Diluted - Issue Specific - DR</t>
  </si>
  <si>
    <t>DPS - Common - Gross - Issue - DR - By Announcement Date</t>
  </si>
  <si>
    <t>DPS - Common - Net - Issue - DR - By Announcement Date</t>
  </si>
  <si>
    <t>Computer Software &amp; Equipment - Gross</t>
  </si>
  <si>
    <t>Research &amp; Development Costs - Net</t>
  </si>
  <si>
    <t>Licenses, Franchises, Copyrights, Property Rights, Prototypes, Contract Based, Models &amp; Designs - Net</t>
  </si>
  <si>
    <t>Total Indefinite-lived Intangible Assets - Net (excl Goodwill) - Supplemental</t>
  </si>
  <si>
    <t>Labor &amp; Related Expenses including Stock-Based Compensation in Selling, General &amp; Administrative Expenses</t>
  </si>
  <si>
    <t>Labor &amp; Related Expenses - Total</t>
  </si>
  <si>
    <t>ICON PLC (ICLR.OQ)</t>
  </si>
  <si>
    <t>Ireland</t>
  </si>
  <si>
    <t>Labor &amp; Related Expenses including Stock-Based Compensation in Cost of Revenues</t>
  </si>
  <si>
    <t>Ground leases/Rental Expenses in Cost of Revenues</t>
  </si>
  <si>
    <t>Impairment - Goodwill</t>
  </si>
  <si>
    <t>Impairment - Intangibles excluding Goodwill</t>
  </si>
  <si>
    <t>Impairment - Financial Investments</t>
  </si>
  <si>
    <t>Costs Associated with IPOs &amp; Mergers</t>
  </si>
  <si>
    <t>Income Taxes - Other (KFAS/NLST) - Current</t>
  </si>
  <si>
    <t>Income Taxes - Other - Deferred</t>
  </si>
  <si>
    <t>NVIDIA</t>
  </si>
  <si>
    <t>Intel</t>
  </si>
  <si>
    <t>Broadcom</t>
  </si>
  <si>
    <t>Micron</t>
  </si>
  <si>
    <t>NVIDIA Corporation (NVDA.OQ)</t>
  </si>
  <si>
    <t>Semiconductors &amp; Semiconductor Equipment</t>
  </si>
  <si>
    <t>27-01-2024</t>
  </si>
  <si>
    <t>25-01-2025</t>
  </si>
  <si>
    <t>Debt - Long-Term - Maturities - Year 10</t>
  </si>
  <si>
    <t>Non-Recurring Adjustments - Operating - Decrease/(Increase)</t>
  </si>
  <si>
    <t>Litigation Expenses/Settlements</t>
  </si>
  <si>
    <t>Intel Corp (INTC.OQ)</t>
  </si>
  <si>
    <t>27-12-2024</t>
  </si>
  <si>
    <t>26-12-2025</t>
  </si>
  <si>
    <t>Marketable Securities - Long-Term</t>
  </si>
  <si>
    <t>Derivative Financial Instruments - Hedging - Long-Term</t>
  </si>
  <si>
    <t>Derivative Financial Instruments - Hedging - Total</t>
  </si>
  <si>
    <t>Amortization of Intangibles in Selling, General &amp; Administrative Expenses</t>
  </si>
  <si>
    <t>Advertising Expense</t>
  </si>
  <si>
    <t>Non-Recurring Portion of Equity Earnings before Taxes</t>
  </si>
  <si>
    <t>Amortization of Licenses, Copyrights, Property Rights &amp; Designs - Supplemental</t>
  </si>
  <si>
    <t>Amortization of Brands, Patents, Trademarks, Marketing &amp; Artistic Intangibles - Supplemental</t>
  </si>
  <si>
    <t>Amortization of Capitalized Research &amp; Development Expenses - Supplemental</t>
  </si>
  <si>
    <t>Advertising Expenses - Supplemental</t>
  </si>
  <si>
    <t>Broadcom Inc (AVGO.OQ)</t>
  </si>
  <si>
    <t>02-11-2024</t>
  </si>
  <si>
    <t>01-11-2025</t>
  </si>
  <si>
    <t>Preferred Stock - Redeemable - Total</t>
  </si>
  <si>
    <t>Share/Per Share - Preferred</t>
  </si>
  <si>
    <t>Preferred Shares - Authorized - Issue Specific</t>
  </si>
  <si>
    <t>Preferred Shares - Issued - Issue Specific</t>
  </si>
  <si>
    <t>Preferred Shares - Outstanding - Issue Specific</t>
  </si>
  <si>
    <t>Preferred Shares - Treasury - Issue Specific</t>
  </si>
  <si>
    <t>Sale of Investments Held for Sale, Maturity &amp; Trading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</si>
  <si>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</si>
  <si>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</si>
  <si>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</si>
  <si>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before Tax - Income/(Expense)</t>
  </si>
  <si>
    <t>Discontinued Operations - Tax Impacts</t>
  </si>
  <si>
    <t>Distribution for Preferred Shares</t>
  </si>
  <si>
    <t>Other Comprehensive Income - Other</t>
  </si>
  <si>
    <t>Micron Technology, Inc. (MU.OQ)</t>
  </si>
  <si>
    <t>28-08-2024</t>
  </si>
  <si>
    <t>27-08-2025</t>
  </si>
  <si>
    <t>Eli Lilly</t>
  </si>
  <si>
    <t>J&amp;J</t>
  </si>
  <si>
    <t>Merck</t>
  </si>
  <si>
    <t>Roche</t>
  </si>
  <si>
    <t>Eli Lilly and Company (LLY.N)</t>
  </si>
  <si>
    <t>Pharmaceuticals</t>
  </si>
  <si>
    <t>Inventories - LIFO Reserve</t>
  </si>
  <si>
    <t>Dividends/Distributions Payable</t>
  </si>
  <si>
    <t>Common Stock - Held in ESOP or Trust/Deferred Compensation</t>
  </si>
  <si>
    <t>Dividends Payable</t>
  </si>
  <si>
    <t>Debt - Long-Term - Maturities - Year 6</t>
  </si>
  <si>
    <t>Research &amp; Development - in Process</t>
  </si>
  <si>
    <t>Johnson &amp; Johnson (JNJ.N)</t>
  </si>
  <si>
    <t>28-12-2024</t>
  </si>
  <si>
    <t>27-12-2025</t>
  </si>
  <si>
    <t>Operating Lease Liabilities - Long-Term &amp; Short-Term - Supplemental</t>
  </si>
  <si>
    <t>COVID-19 Non-Recurring Income/(Expense) - Total</t>
  </si>
  <si>
    <t>COVID-19 Non-Recurring Income/(Expense) - Other</t>
  </si>
  <si>
    <t>Merck &amp; Co Inc (MRK.N)</t>
  </si>
  <si>
    <t>Non-GAAP EPS Diluted - Company Reported</t>
  </si>
  <si>
    <t>Roche Holding AG (ROPC.S)</t>
  </si>
  <si>
    <t>Switzerland</t>
  </si>
  <si>
    <t>CHF</t>
  </si>
  <si>
    <t>Period End FX Rate</t>
  </si>
  <si>
    <t>Derivative Financial Instruments - Hedging - Short-Term</t>
  </si>
  <si>
    <t>Assets Held for Sale/Discontinued Operations - Short-Term</t>
  </si>
  <si>
    <t>Right of Use Tangible Assets - Total/Unspecified - Accumulated Depreciation</t>
  </si>
  <si>
    <t>Right of Use Tangible Assets - Capital/Finance Lease - Accumulated Depreciation</t>
  </si>
  <si>
    <t>Pension Assets - Long-Term</t>
  </si>
  <si>
    <t>Goodwill/Cost in Excess of Assets Purchased - Gross</t>
  </si>
  <si>
    <t>Intangible Assets - Other - Gross - Total</t>
  </si>
  <si>
    <t>Goodwill - Accumulated Amortization &amp; Impairment</t>
  </si>
  <si>
    <t>Intangible Assets - Other - Accumulated Amortization &amp; Impairment</t>
  </si>
  <si>
    <t>Derivative Liabilities - Hedging - Short-Term</t>
  </si>
  <si>
    <t>Liabilities Held for Sale/Discontinued Operations - Short-Term</t>
  </si>
  <si>
    <t>Provisions - Litigation - Long-Term</t>
  </si>
  <si>
    <t>Provisions - Restructuring - Long-Term</t>
  </si>
  <si>
    <t>Provisions - Other - Long-Term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</si>
  <si>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</si>
  <si>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</si>
  <si>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</si>
  <si>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</si>
  <si>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</si>
  <si>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</si>
  <si>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Derivative Liabilities - Hedging</t>
  </si>
  <si>
    <t>Liabilities Held for Sale/Discontinued Operations - Long-term &amp; Short-Term</t>
  </si>
  <si>
    <t>Weighted Cost of Debt - %</t>
  </si>
  <si>
    <t>Non-Interest Financial Income/(Expense) - Other - Net</t>
  </si>
  <si>
    <t>Derivatives - Hedging - Gain/(Loss)</t>
  </si>
  <si>
    <t>Unrealized Adjustments on Derivatives for Hedging</t>
  </si>
  <si>
    <t>Dilution Adjustment</t>
  </si>
  <si>
    <t>Amortization of Computer Software - Supplemental</t>
  </si>
  <si>
    <t>Non-GAAP Revenues - Company Reported</t>
  </si>
  <si>
    <t>Non-GAAP Adjusted EBITDA - Company Reported</t>
  </si>
  <si>
    <t>Non-GAAP EPS Basic - Company Reported</t>
  </si>
  <si>
    <t>Non-GAAP Operating Margin % - Company Reported</t>
  </si>
  <si>
    <t>Derivatives</t>
  </si>
  <si>
    <t>Derivatives - Hedging - Gain/(Loss) - Total - Supplemental</t>
  </si>
  <si>
    <t>Unrealized Adjustments on Derivatives for Hedging - Supplemental</t>
  </si>
  <si>
    <t>Variable Financial Lease Expenses - Supplemental</t>
  </si>
  <si>
    <t>Catálogo estándar para Balance General y Estado de Resultados</t>
  </si>
  <si>
    <t>Sección</t>
  </si>
  <si>
    <t>Línea estándar</t>
  </si>
  <si>
    <t>Field Name exacto en hojas fuente</t>
  </si>
  <si>
    <t>Tipo</t>
  </si>
  <si>
    <t>Cobertura 2025</t>
  </si>
  <si>
    <t>Lógica / comentario</t>
  </si>
  <si>
    <t>Balance General</t>
  </si>
  <si>
    <t>Efectivo y equivalentes</t>
  </si>
  <si>
    <t>Directo</t>
  </si>
  <si>
    <t>12/12</t>
  </si>
  <si>
    <t>SUMIF por Field Name</t>
  </si>
  <si>
    <t>10/12</t>
  </si>
  <si>
    <t>Si no existe, SUMIF devuelve 0</t>
  </si>
  <si>
    <t>11/12</t>
  </si>
  <si>
    <t>Si no aplica, queda en 0</t>
  </si>
  <si>
    <t>Derivado</t>
  </si>
  <si>
    <t>Total activo corriente menos efectivo, inversiones temporales, CxC e inventarios</t>
  </si>
  <si>
    <t>Total activo corriente</t>
  </si>
  <si>
    <t>Total universal</t>
  </si>
  <si>
    <t>Inversiones de largo plazo</t>
  </si>
  <si>
    <t>9/12</t>
  </si>
  <si>
    <t>Si no existe, queda en 0; el residual captura el resto</t>
  </si>
  <si>
    <t>PPE neto</t>
  </si>
  <si>
    <t>Intangibles y goodwill</t>
  </si>
  <si>
    <t>Otros activos no corrientes</t>
  </si>
  <si>
    <t>Total activo no corriente menos inversiones LP, PPE neto e intangibles</t>
  </si>
  <si>
    <t>Total activo no corriente</t>
  </si>
  <si>
    <t>Total activos</t>
  </si>
  <si>
    <t>Cuentas por pagar</t>
  </si>
  <si>
    <t>Deuda / obligaciones financieras CP</t>
  </si>
  <si>
    <t>Si no existe, queda en 0</t>
  </si>
  <si>
    <t>Otros pasivos corrientes</t>
  </si>
  <si>
    <t>Pasivo corriente menos CxP y deuda CP</t>
  </si>
  <si>
    <t>Total pasivo corriente</t>
  </si>
  <si>
    <t>Deuda / obligaciones financieras LP</t>
  </si>
  <si>
    <t>Otros pasivos no corrientes</t>
  </si>
  <si>
    <t>Pasivo no corriente menos deuda LP</t>
  </si>
  <si>
    <t>Total pasivo no corriente</t>
  </si>
  <si>
    <t>Total pasivos</t>
  </si>
  <si>
    <t>Capital común</t>
  </si>
  <si>
    <t>Equity atribuible a common shareholders</t>
  </si>
  <si>
    <t>Otros componentes de patrimonio</t>
  </si>
  <si>
    <t>Patrimonio total menos capital común; incluye NCI/preferred/hybrid cuando aplica</t>
  </si>
  <si>
    <t>Total patrimonio</t>
  </si>
  <si>
    <t>Total pasivo y patrimonio</t>
  </si>
  <si>
    <t>Debe ser igual a Total Assets</t>
  </si>
  <si>
    <t>Estado de Resultados</t>
  </si>
  <si>
    <t>Ingresos</t>
  </si>
  <si>
    <t>Revenue estandarizado</t>
  </si>
  <si>
    <t>Costo de ventas / ingresos</t>
  </si>
  <si>
    <t>Ingresos menos utilidad bruta</t>
  </si>
  <si>
    <t>Utilidad bruta</t>
  </si>
  <si>
    <t>Gross profit estandarizado</t>
  </si>
  <si>
    <t>SG&amp;A excl. R&amp;D</t>
  </si>
  <si>
    <t>Evita doble contar R&amp;D</t>
  </si>
  <si>
    <t>R&amp;D</t>
  </si>
  <si>
    <t>En IQVIA no aparece y queda en 0</t>
  </si>
  <si>
    <t>Otros gastos operativos</t>
  </si>
  <si>
    <t>Opex total menos costo de ventas, SG&amp;A excl. R&amp;D y R&amp;D</t>
  </si>
  <si>
    <t>Gastos operativos totales</t>
  </si>
  <si>
    <t>EBIT</t>
  </si>
  <si>
    <t>Comparable entre las 12 compañías</t>
  </si>
  <si>
    <t>D&amp;A</t>
  </si>
  <si>
    <t>Incluye depletion donde aplica</t>
  </si>
  <si>
    <t>EBITDA</t>
  </si>
  <si>
    <t>Interés neto (gasto) / ingreso</t>
  </si>
  <si>
    <t>Positivo = gasto neto; negativo = ingreso neto</t>
  </si>
  <si>
    <t>Otros no operativos</t>
  </si>
  <si>
    <t>Pre-tax income menos EBIT más interés neto</t>
  </si>
  <si>
    <t>Utilidad antes de impuestos</t>
  </si>
  <si>
    <t>Pre-tax income estandarizado</t>
  </si>
  <si>
    <t>Impuestos</t>
  </si>
  <si>
    <t>Tax expense / benefit</t>
  </si>
  <si>
    <t>Otros efectos after-tax / minoritarios</t>
  </si>
  <si>
    <t>Residual para reconciliar utilidad neta</t>
  </si>
  <si>
    <t>Utilidad neta después de minoritarios</t>
  </si>
  <si>
    <t>Bottom line comparable</t>
  </si>
  <si>
    <t>Plantilla estandarizada — Balance General y Estado de Resultados</t>
  </si>
  <si>
    <t>Pestaña fuente</t>
  </si>
  <si>
    <t>2024 (USD mm)</t>
  </si>
  <si>
    <t>Field Name fuente</t>
  </si>
  <si>
    <t>Activo corriente</t>
  </si>
  <si>
    <t>Activo no corriente</t>
  </si>
  <si>
    <t>Pasivo corriente</t>
  </si>
  <si>
    <t>Pasivo no corriente</t>
  </si>
  <si>
    <t>Patrimonio</t>
  </si>
  <si>
    <t>Check: Activos - Pasivo y Patrimonio</t>
  </si>
  <si>
    <t>Márgenes</t>
  </si>
  <si>
    <t>Margen bruto</t>
  </si>
  <si>
    <t>Operating Margin</t>
  </si>
  <si>
    <t>Margen EBIT</t>
  </si>
  <si>
    <t>Margen EBITDA</t>
  </si>
  <si>
    <t>Margen neto</t>
  </si>
  <si>
    <t>Net Margin</t>
  </si>
  <si>
    <t>Uso: cambia únicamente B2 por el nombre de la pestaña de la compañía. Las líneas directas usan SUMIF + INDIRECT sobre Field Name; los rubros 'Otros' son residuales para mantener una estructura comparable aun cuando una compañía no reporte el mismo nivel de detalle.</t>
  </si>
  <si>
    <t>Indicadores de Liquidez (Liquidity Ratios)</t>
  </si>
  <si>
    <t>Razón corriente (CR)</t>
  </si>
  <si>
    <t>Prueba ácida (QR)</t>
  </si>
  <si>
    <t>Capital de trabajo neto (NWC) (USD mm)</t>
  </si>
  <si>
    <t>Administración de Activos (Efficiency Ratios)</t>
  </si>
  <si>
    <t>Rotación de inventario (ITR)</t>
  </si>
  <si>
    <t>Rotación de activos fijos netos (FAT)</t>
  </si>
  <si>
    <t>Rotación de activos totales (ATR)</t>
  </si>
  <si>
    <t>Días promedio de cartera (DSO)</t>
  </si>
  <si>
    <t>Días promedio de inventario (DIO)</t>
  </si>
  <si>
    <t>Periodo promedio de pago (DPO)</t>
  </si>
  <si>
    <t>Ciclo operativo (OC)</t>
  </si>
  <si>
    <t>Ciclo de efectivo (CC)</t>
  </si>
  <si>
    <t>Administración de Pasivos (Leverage Ratios)</t>
  </si>
  <si>
    <t>Nivel de endeudamiento (Debt to Assets)</t>
  </si>
  <si>
    <t>Cobertura de intereses (Interest Coverage)</t>
  </si>
  <si>
    <t>Indicadores de Rentabilidad (Profitability Ratios)</t>
  </si>
  <si>
    <t>Margen neto (NPM)</t>
  </si>
  <si>
    <t>Margen operacional (OM)</t>
  </si>
  <si>
    <t>ROA</t>
  </si>
  <si>
    <t>ROC</t>
  </si>
  <si>
    <t>ROIC</t>
  </si>
  <si>
    <t>ROCE</t>
  </si>
  <si>
    <t>Check Current Assets</t>
  </si>
  <si>
    <t>Check Total Assets</t>
  </si>
  <si>
    <t>Check Current Liabilities</t>
  </si>
  <si>
    <t>Check Total Liabilities</t>
  </si>
  <si>
    <t>Check Balance</t>
  </si>
  <si>
    <t>Check Net Income</t>
  </si>
  <si>
    <t xml:space="preserve">Total Shareholders' Equity </t>
  </si>
  <si>
    <t>argenx SE (ARGX.O)</t>
  </si>
  <si>
    <t>Netherlands</t>
  </si>
  <si>
    <t>Financial Assets - Short-Term</t>
  </si>
  <si>
    <t>Financial Assets - Long-Term</t>
  </si>
  <si>
    <t>Computer Software &amp; Equipment - Net</t>
  </si>
  <si>
    <t>Property, Plant &amp; Equipment - Under Capital Lease - Net</t>
  </si>
  <si>
    <t>Property, Plant &amp; Equipment - Under Capital Lease - Gross</t>
  </si>
  <si>
    <t>Computer Software &amp; Equipment - Accumulated Depreciation &amp; Impairment</t>
  </si>
  <si>
    <t>Property, Plant &amp; Equipment - Under Capital Lease - Accumulated Depreciation &amp; Impairment</t>
  </si>
  <si>
    <t>Research &amp; Development Costs - Gross</t>
  </si>
  <si>
    <t>Research &amp; Development Costs - Accumulated Amortization &amp; Impairment</t>
  </si>
  <si>
    <t>Depreciation in Selling, General &amp; Administrative Expenses</t>
  </si>
  <si>
    <t>Employees - Average</t>
  </si>
  <si>
    <t>Argenx</t>
  </si>
  <si>
    <t>BeOne Medicines AG (ONC.O)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</si>
  <si>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</si>
  <si>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</si>
  <si>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Sales Returns, Allowances &amp; Other Revenue Adjustments</t>
  </si>
  <si>
    <t>Beone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</si>
</sst>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#,##0.0"/>
    <numFmt numFmtId="166" formatCode="dd\-mm\-yyyy"/>
    <numFmt numFmtId="167" formatCode="[&gt;=100]##,##0.0\%;[&lt;=-100]\-##,##0.0\%;##,##0.0\%"/>
    <numFmt numFmtId="168" formatCode="#,##0.0;[Red]\(#,##0.0\);\-"/>
    <numFmt numFmtId="169" formatCode="0.0%;[Red]\(0.0%\);\-"/>
    <numFmt numFmtId="170" formatCode="0.0%"/>
    <numFmt numFmtId="171" formatCode="#,##0.0_);[Red]\(#,##0.0\)"/>
    <numFmt numFmtId="172" formatCode="0.0\x;[Red]\(0.0\x\);\-"/>
    <numFmt numFmtId="173" formatCode="0.0;[Red]\(0.0\);\-"/>
  </numFmts>
  <fonts count="38" x14ac:knownFonts="1">
    <font>
      <sz val="11"/>
      <color theme="1"/>
      <name val="Aptos Narrow"/>
    </font>
    <font>
      <b/>
      <sz val="11"/>
      <color theme="1"/>
      <name val="Aptos Narrow"/>
    </font>
    <font>
      <sz val="11"/>
      <color rgb="FF000000"/>
      <name val="Calibri"/>
    </font>
    <font>
      <b/>
      <sz val="10"/>
      <color rgb="FFFFFFFF"/>
      <name val="Calibri"/>
    </font>
    <font>
      <sz val="10"/>
      <color rgb="FFFFFFFF"/>
      <name val="Calibri"/>
    </font>
    <font>
      <sz val="10"/>
      <color rgb="FF000000"/>
      <name val="Calibri"/>
    </font>
    <font>
      <b/>
      <sz val="10"/>
      <color rgb="FF334BFF"/>
      <name val="Calibri"/>
    </font>
    <font>
      <sz val="10"/>
      <color rgb="FFF5475B"/>
      <name val="Calibri"/>
    </font>
    <font>
      <b/>
      <sz val="10"/>
      <color rgb="FF000000"/>
      <name val="Calibri"/>
    </font>
    <font>
      <b/>
      <sz val="14"/>
      <color rgb="FFFFFFFF"/>
      <name val="Aptos Narrow"/>
    </font>
    <font>
      <b/>
      <sz val="11"/>
      <color rgb="FFFFFFFF"/>
      <name val="Aptos Narrow"/>
    </font>
    <font>
      <b/>
      <sz val="11"/>
      <color rgb="FF000000"/>
      <name val="Aptos Narrow"/>
    </font>
    <font>
      <b/>
      <sz val="11"/>
      <color rgb="FF0000FF"/>
      <name val="Aptos Narrow"/>
    </font>
    <font>
      <sz val="11"/>
      <color rgb="FF008000"/>
      <name val="Aptos Narrow"/>
    </font>
    <font>
      <b/>
      <sz val="11"/>
      <color rgb="FF008000"/>
      <name val="Aptos Narrow"/>
    </font>
    <font>
      <sz val="11"/>
      <color rgb="FF000000"/>
      <name val="Aptos Narrow"/>
    </font>
    <font>
      <i/>
      <sz val="11"/>
      <color theme="1"/>
      <name val="Aptos Narrow"/>
    </font>
    <font>
      <sz val="11"/>
      <color theme="1"/>
      <name val="Aptos Narrow"/>
    </font>
    <font>
      <b/>
      <sz val="11"/>
      <name val="Aptos Narrow"/>
    </font>
    <font>
      <sz val="11"/>
      <name val="Aptos Narrow"/>
    </font>
    <font>
      <b/>
      <sz val="11"/>
      <color rgb="FFFFFFFF"/>
      <name val="Aptos Narrow"/>
    </font>
    <font>
      <b/>
      <sz val="11"/>
      <color theme="1"/>
      <name val="Aptos Narrow"/>
    </font>
    <font>
      <b/>
      <sz val="10"/>
      <color rgb="FFFFFFFF"/>
      <name val="Calibri"/>
    </font>
    <font>
      <sz val="10"/>
      <color rgb="FFFFFFFF"/>
      <name val="Calibri"/>
    </font>
    <font>
      <sz val="10"/>
      <color rgb="FF000000"/>
      <name val="Calibri"/>
    </font>
    <font>
      <b/>
      <sz val="10"/>
      <color rgb="FF334BFF"/>
      <name val="Calibri"/>
    </font>
    <font>
      <b/>
      <sz val="10"/>
      <color rgb="FF000000"/>
      <name val="Calibri"/>
    </font>
    <font>
      <sz val="10"/>
      <color rgb="FFF5475B"/>
      <name val="Calibri"/>
    </font>
    <font>
      <b/>
      <sz val="10"/>
      <color rgb="FFF5475B"/>
      <name val="Calibri"/>
    </font>
    <font>
      <b/>
      <i/>
      <sz val="11"/>
      <color rgb="FF666666"/>
      <name val="Aptos Narrow"/>
    </font>
    <font>
      <i/>
      <sz val="11"/>
      <color rgb="FF666666"/>
      <name val="Aptos Narrow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34BFF"/>
      </patternFill>
    </fill>
    <fill>
      <patternFill patternType="solid">
        <fgColor rgb="FFD5D8DB"/>
      </patternFill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AFAFA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rgb="FF334BFF"/>
      </patternFill>
    </fill>
    <fill>
      <patternFill patternType="solid">
        <fgColor rgb="FFD5D8DB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2">
    <xf numFmtId="0" fontId="0" fillId="0" borderId="0"/>
    <xf numFmtId="0" fontId="2" fillId="0" borderId="0" applyNumberFormat="0" applyBorder="0" applyAlignment="0"/>
  </cellStyleXfs>
  <cellXfs count="175">
    <xf numFmtId="0" fontId="0" fillId="0" borderId="0" xfId="0"/>
    <xf numFmtId="0" fontId="1" fillId="0" borderId="0" xfId="0" applyFont="1"/>
    <xf numFmtId="0" fontId="1" fillId="0" borderId="1" xfId="0" applyFont="1" applyBorder="1"/>
    <xf numFmtId="1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9" fontId="0" fillId="0" borderId="0" xfId="0" applyNumberFormat="1"/>
    <xf numFmtId="0" fontId="3" fillId="2" borderId="2" xfId="1" applyFont="1" applyFill="1" applyBorder="1"/>
    <xf numFmtId="0" fontId="4" fillId="2" borderId="2" xfId="1" applyFont="1" applyFill="1" applyBorder="1"/>
    <xf numFmtId="0" fontId="2" fillId="0" borderId="0" xfId="1"/>
    <xf numFmtId="0" fontId="5" fillId="0" borderId="0" xfId="1" applyFont="1"/>
    <xf numFmtId="0" fontId="6" fillId="0" borderId="0" xfId="1" applyFont="1"/>
    <xf numFmtId="166" fontId="5" fillId="0" borderId="0" xfId="1" applyNumberFormat="1" applyFont="1" applyAlignment="1">
      <alignment horizontal="left"/>
    </xf>
    <xf numFmtId="0" fontId="4" fillId="2" borderId="3" xfId="1" applyFont="1" applyFill="1" applyBorder="1"/>
    <xf numFmtId="0" fontId="4" fillId="2" borderId="3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/>
    </xf>
    <xf numFmtId="166" fontId="5" fillId="0" borderId="4" xfId="1" applyNumberFormat="1" applyFont="1" applyBorder="1" applyAlignment="1">
      <alignment horizontal="center" vertical="center" wrapText="1"/>
    </xf>
    <xf numFmtId="0" fontId="4" fillId="2" borderId="3" xfId="1" applyFont="1" applyFill="1" applyBorder="1" applyAlignment="1">
      <alignment wrapText="1"/>
    </xf>
    <xf numFmtId="0" fontId="4" fillId="2" borderId="3" xfId="1" applyFont="1" applyFill="1" applyBorder="1" applyAlignment="1">
      <alignment horizontal="left" vertical="center" wrapText="1"/>
    </xf>
    <xf numFmtId="0" fontId="8" fillId="3" borderId="4" xfId="1" applyFont="1" applyFill="1" applyBorder="1" applyAlignment="1">
      <alignment horizontal="left" vertical="center" wrapText="1"/>
    </xf>
    <xf numFmtId="0" fontId="2" fillId="3" borderId="4" xfId="1" applyFill="1" applyBorder="1" applyAlignment="1">
      <alignment wrapText="1"/>
    </xf>
    <xf numFmtId="0" fontId="5" fillId="0" borderId="4" xfId="1" applyFont="1" applyBorder="1" applyAlignment="1">
      <alignment vertical="center" wrapText="1"/>
    </xf>
    <xf numFmtId="3" fontId="5" fillId="0" borderId="4" xfId="1" applyNumberFormat="1" applyFont="1" applyBorder="1" applyAlignment="1">
      <alignment horizontal="right" vertical="center" wrapText="1"/>
    </xf>
    <xf numFmtId="0" fontId="5" fillId="0" borderId="4" xfId="1" applyFont="1" applyBorder="1" applyAlignment="1">
      <alignment horizontal="left" vertical="center" wrapText="1"/>
    </xf>
    <xf numFmtId="165" fontId="5" fillId="0" borderId="4" xfId="1" applyNumberFormat="1" applyFont="1" applyBorder="1" applyAlignment="1">
      <alignment horizontal="right" vertical="center" wrapText="1"/>
    </xf>
    <xf numFmtId="0" fontId="8" fillId="0" borderId="4" xfId="1" applyFont="1" applyBorder="1" applyAlignment="1">
      <alignment vertical="center" wrapText="1"/>
    </xf>
    <xf numFmtId="3" fontId="8" fillId="0" borderId="4" xfId="1" applyNumberFormat="1" applyFont="1" applyBorder="1" applyAlignment="1">
      <alignment horizontal="right" vertical="center" wrapText="1"/>
    </xf>
    <xf numFmtId="3" fontId="7" fillId="0" borderId="4" xfId="1" applyNumberFormat="1" applyFont="1" applyBorder="1" applyAlignment="1">
      <alignment horizontal="right" vertical="center" wrapText="1"/>
    </xf>
    <xf numFmtId="4" fontId="5" fillId="0" borderId="4" xfId="1" applyNumberFormat="1" applyFont="1" applyBorder="1" applyAlignment="1">
      <alignment horizontal="right" vertical="center" wrapText="1"/>
    </xf>
    <xf numFmtId="165" fontId="7" fillId="0" borderId="4" xfId="1" applyNumberFormat="1" applyFont="1" applyBorder="1" applyAlignment="1">
      <alignment horizontal="right" vertical="center" wrapText="1"/>
    </xf>
    <xf numFmtId="4" fontId="7" fillId="0" borderId="4" xfId="1" applyNumberFormat="1" applyFont="1" applyBorder="1" applyAlignment="1">
      <alignment horizontal="right" vertical="center" wrapText="1"/>
    </xf>
    <xf numFmtId="167" fontId="5" fillId="0" borderId="4" xfId="1" applyNumberFormat="1" applyFont="1" applyBorder="1" applyAlignment="1">
      <alignment horizontal="right" vertical="center" wrapText="1"/>
    </xf>
    <xf numFmtId="0" fontId="3" fillId="2" borderId="2" xfId="0" applyFont="1" applyFill="1" applyBorder="1"/>
    <xf numFmtId="0" fontId="4" fillId="2" borderId="2" xfId="0" applyFont="1" applyFill="1" applyBorder="1"/>
    <xf numFmtId="0" fontId="5" fillId="0" borderId="0" xfId="0" applyFont="1"/>
    <xf numFmtId="0" fontId="6" fillId="0" borderId="0" xfId="0" applyFont="1"/>
    <xf numFmtId="166" fontId="5" fillId="0" borderId="0" xfId="0" applyNumberFormat="1" applyFont="1" applyAlignment="1">
      <alignment horizontal="left"/>
    </xf>
    <xf numFmtId="0" fontId="4" fillId="2" borderId="3" xfId="0" applyFont="1" applyFill="1" applyBorder="1"/>
    <xf numFmtId="0" fontId="4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166" fontId="5" fillId="0" borderId="4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wrapText="1"/>
    </xf>
    <xf numFmtId="0" fontId="4" fillId="2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wrapText="1"/>
    </xf>
    <xf numFmtId="0" fontId="5" fillId="0" borderId="4" xfId="0" applyFont="1" applyBorder="1" applyAlignment="1">
      <alignment vertical="center" wrapText="1"/>
    </xf>
    <xf numFmtId="165" fontId="5" fillId="0" borderId="4" xfId="0" applyNumberFormat="1" applyFont="1" applyBorder="1" applyAlignment="1">
      <alignment horizontal="right" vertical="center" wrapText="1"/>
    </xf>
    <xf numFmtId="0" fontId="5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right" vertical="center" wrapText="1"/>
    </xf>
    <xf numFmtId="4" fontId="5" fillId="0" borderId="4" xfId="0" applyNumberFormat="1" applyFont="1" applyBorder="1" applyAlignment="1">
      <alignment horizontal="right" vertical="center" wrapText="1"/>
    </xf>
    <xf numFmtId="0" fontId="8" fillId="0" borderId="4" xfId="0" applyFont="1" applyBorder="1" applyAlignment="1">
      <alignment vertical="center" wrapText="1"/>
    </xf>
    <xf numFmtId="3" fontId="8" fillId="0" borderId="4" xfId="0" applyNumberFormat="1" applyFont="1" applyBorder="1" applyAlignment="1">
      <alignment horizontal="right" vertical="center" wrapText="1"/>
    </xf>
    <xf numFmtId="165" fontId="7" fillId="0" borderId="4" xfId="0" applyNumberFormat="1" applyFont="1" applyBorder="1" applyAlignment="1">
      <alignment horizontal="right" vertical="center" wrapText="1"/>
    </xf>
    <xf numFmtId="4" fontId="7" fillId="0" borderId="4" xfId="0" applyNumberFormat="1" applyFont="1" applyBorder="1" applyAlignment="1">
      <alignment horizontal="right" vertical="center" wrapText="1"/>
    </xf>
    <xf numFmtId="167" fontId="5" fillId="0" borderId="4" xfId="0" applyNumberFormat="1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165" fontId="8" fillId="0" borderId="4" xfId="0" applyNumberFormat="1" applyFont="1" applyBorder="1" applyAlignment="1">
      <alignment horizontal="right" vertical="center" wrapText="1"/>
    </xf>
    <xf numFmtId="0" fontId="10" fillId="4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9" fillId="4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168" fontId="10" fillId="4" borderId="0" xfId="0" applyNumberFormat="1" applyFont="1" applyFill="1" applyAlignment="1">
      <alignment vertical="center" wrapText="1"/>
    </xf>
    <xf numFmtId="168" fontId="10" fillId="4" borderId="0" xfId="0" applyNumberFormat="1" applyFont="1" applyFill="1" applyAlignment="1">
      <alignment horizontal="right" vertical="center" wrapText="1"/>
    </xf>
    <xf numFmtId="168" fontId="1" fillId="9" borderId="0" xfId="0" applyNumberFormat="1" applyFont="1" applyFill="1" applyAlignment="1">
      <alignment horizontal="right" wrapText="1"/>
    </xf>
    <xf numFmtId="168" fontId="13" fillId="0" borderId="0" xfId="0" applyNumberFormat="1" applyFont="1" applyAlignment="1">
      <alignment horizontal="right" wrapText="1"/>
    </xf>
    <xf numFmtId="168" fontId="0" fillId="0" borderId="0" xfId="0" applyNumberFormat="1" applyAlignment="1">
      <alignment horizontal="right" wrapText="1"/>
    </xf>
    <xf numFmtId="168" fontId="14" fillId="10" borderId="0" xfId="0" applyNumberFormat="1" applyFont="1" applyFill="1" applyAlignment="1">
      <alignment horizontal="right" wrapText="1"/>
    </xf>
    <xf numFmtId="168" fontId="11" fillId="10" borderId="0" xfId="0" applyNumberFormat="1" applyFont="1" applyFill="1" applyAlignment="1">
      <alignment horizontal="right" wrapText="1"/>
    </xf>
    <xf numFmtId="0" fontId="10" fillId="4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11" fillId="10" borderId="0" xfId="0" applyFont="1" applyFill="1" applyAlignment="1">
      <alignment horizontal="left" wrapText="1"/>
    </xf>
    <xf numFmtId="168" fontId="15" fillId="0" borderId="0" xfId="0" applyNumberFormat="1" applyFont="1" applyAlignment="1">
      <alignment horizontal="right" wrapText="1"/>
    </xf>
    <xf numFmtId="169" fontId="15" fillId="0" borderId="0" xfId="0" applyNumberFormat="1" applyFont="1" applyAlignment="1">
      <alignment horizontal="right" wrapText="1"/>
    </xf>
    <xf numFmtId="0" fontId="16" fillId="8" borderId="0" xfId="0" applyFont="1" applyFill="1" applyAlignment="1">
      <alignment vertical="top" wrapText="1"/>
    </xf>
    <xf numFmtId="170" fontId="18" fillId="10" borderId="0" xfId="0" applyNumberFormat="1" applyFont="1" applyFill="1" applyAlignment="1">
      <alignment horizontal="right" wrapText="1"/>
    </xf>
    <xf numFmtId="170" fontId="19" fillId="0" borderId="0" xfId="0" applyNumberFormat="1" applyFont="1" applyAlignment="1">
      <alignment horizontal="right" wrapText="1"/>
    </xf>
    <xf numFmtId="170" fontId="18" fillId="9" borderId="0" xfId="0" applyNumberFormat="1" applyFont="1" applyFill="1" applyAlignment="1">
      <alignment horizontal="right" wrapText="1"/>
    </xf>
    <xf numFmtId="170" fontId="19" fillId="0" borderId="0" xfId="0" applyNumberFormat="1" applyFont="1"/>
    <xf numFmtId="170" fontId="18" fillId="4" borderId="0" xfId="0" applyNumberFormat="1" applyFont="1" applyFill="1" applyAlignment="1">
      <alignment horizontal="right" vertical="center" wrapText="1"/>
    </xf>
    <xf numFmtId="0" fontId="20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right" vertical="center" wrapText="1"/>
    </xf>
    <xf numFmtId="0" fontId="21" fillId="0" borderId="0" xfId="0" applyFont="1"/>
    <xf numFmtId="0" fontId="21" fillId="0" borderId="1" xfId="0" applyFont="1" applyBorder="1"/>
    <xf numFmtId="9" fontId="21" fillId="0" borderId="0" xfId="0" applyNumberFormat="1" applyFont="1"/>
    <xf numFmtId="0" fontId="0" fillId="0" borderId="0" xfId="0" applyAlignment="1">
      <alignment horizontal="left"/>
    </xf>
    <xf numFmtId="0" fontId="17" fillId="0" borderId="0" xfId="0" applyFont="1"/>
    <xf numFmtId="0" fontId="22" fillId="11" borderId="2" xfId="0" applyFont="1" applyFill="1" applyBorder="1"/>
    <xf numFmtId="0" fontId="23" fillId="11" borderId="2" xfId="0" applyFont="1" applyFill="1" applyBorder="1"/>
    <xf numFmtId="0" fontId="24" fillId="0" borderId="0" xfId="0" applyFont="1"/>
    <xf numFmtId="0" fontId="25" fillId="0" borderId="0" xfId="0" applyFont="1"/>
    <xf numFmtId="166" fontId="24" fillId="0" borderId="0" xfId="0" applyNumberFormat="1" applyFont="1" applyAlignment="1">
      <alignment horizontal="left"/>
    </xf>
    <xf numFmtId="0" fontId="23" fillId="11" borderId="3" xfId="0" applyFont="1" applyFill="1" applyBorder="1"/>
    <xf numFmtId="0" fontId="23" fillId="11" borderId="3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left" vertical="center"/>
    </xf>
    <xf numFmtId="166" fontId="24" fillId="0" borderId="4" xfId="0" applyNumberFormat="1" applyFont="1" applyBorder="1" applyAlignment="1">
      <alignment horizontal="center" vertical="center" wrapText="1"/>
    </xf>
    <xf numFmtId="0" fontId="23" fillId="11" borderId="3" xfId="0" applyFont="1" applyFill="1" applyBorder="1" applyAlignment="1">
      <alignment wrapText="1"/>
    </xf>
    <xf numFmtId="0" fontId="23" fillId="11" borderId="3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left" vertical="center" wrapText="1"/>
    </xf>
    <xf numFmtId="0" fontId="0" fillId="12" borderId="4" xfId="0" applyFill="1" applyBorder="1" applyAlignment="1">
      <alignment wrapText="1"/>
    </xf>
    <xf numFmtId="0" fontId="24" fillId="0" borderId="4" xfId="0" applyFont="1" applyBorder="1" applyAlignment="1">
      <alignment vertical="center" wrapText="1"/>
    </xf>
    <xf numFmtId="165" fontId="24" fillId="0" borderId="4" xfId="0" applyNumberFormat="1" applyFont="1" applyBorder="1" applyAlignment="1">
      <alignment horizontal="right" vertical="center" wrapText="1"/>
    </xf>
    <xf numFmtId="0" fontId="24" fillId="0" borderId="4" xfId="0" applyFont="1" applyBorder="1" applyAlignment="1">
      <alignment horizontal="left" vertical="center" wrapText="1"/>
    </xf>
    <xf numFmtId="3" fontId="24" fillId="0" borderId="4" xfId="0" applyNumberFormat="1" applyFont="1" applyBorder="1" applyAlignment="1">
      <alignment horizontal="right" vertical="center" wrapText="1"/>
    </xf>
    <xf numFmtId="4" fontId="24" fillId="0" borderId="4" xfId="0" applyNumberFormat="1" applyFont="1" applyBorder="1" applyAlignment="1">
      <alignment horizontal="right" vertical="center" wrapText="1"/>
    </xf>
    <xf numFmtId="0" fontId="26" fillId="0" borderId="4" xfId="0" applyFont="1" applyBorder="1" applyAlignment="1">
      <alignment vertical="center" wrapText="1"/>
    </xf>
    <xf numFmtId="3" fontId="26" fillId="0" borderId="4" xfId="0" applyNumberFormat="1" applyFont="1" applyBorder="1" applyAlignment="1">
      <alignment horizontal="right" vertical="center" wrapText="1"/>
    </xf>
    <xf numFmtId="165" fontId="27" fillId="0" borderId="4" xfId="0" applyNumberFormat="1" applyFont="1" applyBorder="1" applyAlignment="1">
      <alignment horizontal="right" vertical="center" wrapText="1"/>
    </xf>
    <xf numFmtId="4" fontId="27" fillId="0" borderId="4" xfId="0" applyNumberFormat="1" applyFont="1" applyBorder="1" applyAlignment="1">
      <alignment horizontal="right" vertical="center" wrapText="1"/>
    </xf>
    <xf numFmtId="167" fontId="24" fillId="0" borderId="4" xfId="0" applyNumberFormat="1" applyFont="1" applyBorder="1" applyAlignment="1">
      <alignment horizontal="right" vertical="center" wrapText="1"/>
    </xf>
    <xf numFmtId="165" fontId="26" fillId="0" borderId="4" xfId="0" applyNumberFormat="1" applyFont="1" applyBorder="1" applyAlignment="1">
      <alignment horizontal="right" vertical="center" wrapText="1"/>
    </xf>
    <xf numFmtId="3" fontId="27" fillId="0" borderId="4" xfId="0" applyNumberFormat="1" applyFont="1" applyBorder="1" applyAlignment="1">
      <alignment horizontal="right" vertical="center" wrapText="1"/>
    </xf>
    <xf numFmtId="165" fontId="28" fillId="0" borderId="4" xfId="0" applyNumberFormat="1" applyFont="1" applyBorder="1" applyAlignment="1">
      <alignment horizontal="right" vertical="center" wrapText="1"/>
    </xf>
    <xf numFmtId="4" fontId="28" fillId="0" borderId="4" xfId="0" applyNumberFormat="1" applyFont="1" applyBorder="1" applyAlignment="1">
      <alignment horizontal="right" vertical="center" wrapText="1"/>
    </xf>
    <xf numFmtId="3" fontId="28" fillId="0" borderId="4" xfId="0" applyNumberFormat="1" applyFont="1" applyBorder="1" applyAlignment="1">
      <alignment horizontal="right" vertical="center" wrapText="1"/>
    </xf>
    <xf numFmtId="4" fontId="26" fillId="0" borderId="4" xfId="0" applyNumberFormat="1" applyFont="1" applyBorder="1" applyAlignment="1">
      <alignment horizontal="right" vertical="center" wrapText="1"/>
    </xf>
    <xf numFmtId="171" fontId="0" fillId="0" borderId="0" xfId="0" applyNumberFormat="1"/>
    <xf numFmtId="3" fontId="2" fillId="0" borderId="0" xfId="1" applyNumberFormat="1"/>
    <xf numFmtId="0" fontId="10" fillId="13" borderId="0" xfId="0" applyFont="1" applyFill="1" applyAlignment="1">
      <alignment horizontal="left" vertical="center" wrapText="1"/>
    </xf>
    <xf numFmtId="4" fontId="10" fillId="13" borderId="0" xfId="0" applyNumberFormat="1" applyFont="1" applyFill="1" applyAlignment="1">
      <alignment horizontal="left" vertical="center"/>
    </xf>
    <xf numFmtId="0" fontId="10" fillId="13" borderId="0" xfId="0" applyFont="1" applyFill="1" applyAlignment="1">
      <alignment horizontal="left" vertical="center"/>
    </xf>
    <xf numFmtId="169" fontId="0" fillId="0" borderId="0" xfId="0" applyNumberFormat="1"/>
    <xf numFmtId="172" fontId="0" fillId="0" borderId="0" xfId="0" applyNumberFormat="1"/>
    <xf numFmtId="173" fontId="0" fillId="0" borderId="0" xfId="0" applyNumberFormat="1"/>
    <xf numFmtId="168" fontId="0" fillId="0" borderId="0" xfId="0" applyNumberFormat="1"/>
    <xf numFmtId="0" fontId="29" fillId="14" borderId="0" xfId="0" applyFont="1" applyFill="1" applyAlignment="1">
      <alignment horizontal="left" wrapText="1"/>
    </xf>
    <xf numFmtId="173" fontId="11" fillId="14" borderId="0" xfId="0" applyNumberFormat="1" applyFont="1" applyFill="1" applyAlignment="1">
      <alignment horizontal="right" wrapText="1"/>
    </xf>
    <xf numFmtId="0" fontId="30" fillId="14" borderId="0" xfId="0" applyFont="1" applyFill="1"/>
    <xf numFmtId="173" fontId="15" fillId="14" borderId="0" xfId="0" applyNumberFormat="1" applyFont="1" applyFill="1"/>
    <xf numFmtId="172" fontId="15" fillId="0" borderId="0" xfId="0" applyNumberFormat="1" applyFont="1"/>
    <xf numFmtId="168" fontId="15" fillId="0" borderId="0" xfId="0" applyNumberFormat="1" applyFont="1"/>
    <xf numFmtId="173" fontId="15" fillId="0" borderId="0" xfId="0" applyNumberFormat="1" applyFont="1"/>
    <xf numFmtId="169" fontId="15" fillId="0" borderId="0" xfId="0" applyNumberFormat="1" applyFont="1"/>
    <xf numFmtId="9" fontId="10" fillId="13" borderId="0" xfId="0" applyNumberFormat="1" applyFont="1" applyFill="1" applyAlignment="1">
      <alignment horizontal="left" vertical="center"/>
    </xf>
    <xf numFmtId="3" fontId="10" fillId="13" borderId="0" xfId="0" applyNumberFormat="1" applyFont="1" applyFill="1" applyAlignment="1">
      <alignment horizontal="left" vertical="center"/>
    </xf>
    <xf numFmtId="172" fontId="13" fillId="0" borderId="0" xfId="0" applyNumberFormat="1" applyFont="1"/>
    <xf numFmtId="168" fontId="13" fillId="0" borderId="0" xfId="0" applyNumberFormat="1" applyFont="1"/>
    <xf numFmtId="173" fontId="13" fillId="0" borderId="0" xfId="0" applyNumberFormat="1" applyFont="1"/>
    <xf numFmtId="169" fontId="13" fillId="0" borderId="0" xfId="0" applyNumberFormat="1" applyFont="1"/>
    <xf numFmtId="0" fontId="9" fillId="4" borderId="0" xfId="0" applyFont="1" applyFill="1" applyAlignment="1">
      <alignment vertical="center"/>
    </xf>
    <xf numFmtId="0" fontId="31" fillId="15" borderId="5" xfId="0" applyFont="1" applyFill="1" applyBorder="1"/>
    <xf numFmtId="0" fontId="32" fillId="15" borderId="5" xfId="0" applyFont="1" applyFill="1" applyBorder="1"/>
    <xf numFmtId="0" fontId="33" fillId="0" borderId="0" xfId="0" applyFont="1"/>
    <xf numFmtId="0" fontId="34" fillId="0" borderId="0" xfId="0" applyFont="1"/>
    <xf numFmtId="166" fontId="33" fillId="0" borderId="0" xfId="0" applyNumberFormat="1" applyFont="1" applyAlignment="1">
      <alignment horizontal="left"/>
    </xf>
    <xf numFmtId="0" fontId="32" fillId="15" borderId="6" xfId="0" applyFont="1" applyFill="1" applyBorder="1"/>
    <xf numFmtId="0" fontId="32" fillId="15" borderId="6" xfId="0" applyFont="1" applyFill="1" applyBorder="1" applyAlignment="1">
      <alignment horizontal="center" vertical="center" wrapText="1"/>
    </xf>
    <xf numFmtId="0" fontId="33" fillId="0" borderId="7" xfId="0" applyFont="1" applyBorder="1" applyAlignment="1">
      <alignment horizontal="left" vertical="center"/>
    </xf>
    <xf numFmtId="166" fontId="33" fillId="0" borderId="7" xfId="0" applyNumberFormat="1" applyFont="1" applyBorder="1" applyAlignment="1">
      <alignment horizontal="center" vertical="center" wrapText="1"/>
    </xf>
    <xf numFmtId="0" fontId="32" fillId="15" borderId="6" xfId="0" applyFont="1" applyFill="1" applyBorder="1" applyAlignment="1">
      <alignment wrapText="1"/>
    </xf>
    <xf numFmtId="0" fontId="32" fillId="15" borderId="6" xfId="0" applyFont="1" applyFill="1" applyBorder="1" applyAlignment="1">
      <alignment horizontal="left" vertical="center" wrapText="1"/>
    </xf>
    <xf numFmtId="0" fontId="35" fillId="16" borderId="7" xfId="0" applyFont="1" applyFill="1" applyBorder="1" applyAlignment="1">
      <alignment horizontal="left" vertical="center" wrapText="1"/>
    </xf>
    <xf numFmtId="0" fontId="0" fillId="16" borderId="7" xfId="0" applyFill="1" applyBorder="1" applyAlignment="1">
      <alignment wrapText="1"/>
    </xf>
    <xf numFmtId="0" fontId="33" fillId="0" borderId="7" xfId="0" applyFont="1" applyBorder="1" applyAlignment="1">
      <alignment vertical="center" wrapText="1"/>
    </xf>
    <xf numFmtId="165" fontId="33" fillId="0" borderId="7" xfId="0" applyNumberFormat="1" applyFont="1" applyBorder="1" applyAlignment="1">
      <alignment horizontal="right" vertical="center" wrapText="1"/>
    </xf>
    <xf numFmtId="0" fontId="33" fillId="0" borderId="7" xfId="0" applyFont="1" applyBorder="1" applyAlignment="1">
      <alignment horizontal="left" vertical="center" wrapText="1" indent="2"/>
    </xf>
    <xf numFmtId="4" fontId="33" fillId="0" borderId="7" xfId="0" applyNumberFormat="1" applyFont="1" applyBorder="1" applyAlignment="1">
      <alignment horizontal="right" vertical="center" wrapText="1"/>
    </xf>
    <xf numFmtId="0" fontId="35" fillId="0" borderId="7" xfId="0" applyFont="1" applyBorder="1" applyAlignment="1">
      <alignment vertical="center" wrapText="1"/>
    </xf>
    <xf numFmtId="165" fontId="35" fillId="0" borderId="7" xfId="0" applyNumberFormat="1" applyFont="1" applyBorder="1" applyAlignment="1">
      <alignment horizontal="right" vertical="center" wrapText="1"/>
    </xf>
    <xf numFmtId="0" fontId="33" fillId="0" borderId="7" xfId="0" applyFont="1" applyBorder="1" applyAlignment="1">
      <alignment horizontal="left" vertical="center" wrapText="1" indent="4"/>
    </xf>
    <xf numFmtId="0" fontId="33" fillId="0" borderId="7" xfId="0" applyFont="1" applyBorder="1" applyAlignment="1">
      <alignment horizontal="left" vertical="center" wrapText="1" indent="6"/>
    </xf>
    <xf numFmtId="0" fontId="33" fillId="0" borderId="7" xfId="0" applyFont="1" applyBorder="1" applyAlignment="1">
      <alignment horizontal="left" vertical="center" wrapText="1" indent="8"/>
    </xf>
    <xf numFmtId="3" fontId="33" fillId="0" borderId="7" xfId="0" applyNumberFormat="1" applyFont="1" applyBorder="1" applyAlignment="1">
      <alignment horizontal="right" vertical="center" wrapText="1"/>
    </xf>
    <xf numFmtId="165" fontId="36" fillId="0" borderId="7" xfId="0" applyNumberFormat="1" applyFont="1" applyBorder="1" applyAlignment="1">
      <alignment horizontal="right" vertical="center" wrapText="1"/>
    </xf>
    <xf numFmtId="4" fontId="36" fillId="0" borderId="7" xfId="0" applyNumberFormat="1" applyFont="1" applyBorder="1" applyAlignment="1">
      <alignment horizontal="right" vertical="center" wrapText="1"/>
    </xf>
    <xf numFmtId="4" fontId="37" fillId="0" borderId="7" xfId="0" applyNumberFormat="1" applyFont="1" applyBorder="1" applyAlignment="1">
      <alignment horizontal="right" vertical="center" wrapText="1"/>
    </xf>
    <xf numFmtId="4" fontId="35" fillId="0" borderId="7" xfId="0" applyNumberFormat="1" applyFont="1" applyBorder="1" applyAlignment="1">
      <alignment horizontal="right" vertical="center" wrapText="1"/>
    </xf>
    <xf numFmtId="167" fontId="33" fillId="0" borderId="7" xfId="0" applyNumberFormat="1" applyFont="1" applyBorder="1" applyAlignment="1">
      <alignment horizontal="right" vertical="center" wrapText="1"/>
    </xf>
    <xf numFmtId="165" fontId="37" fillId="0" borderId="7" xfId="0" applyNumberFormat="1" applyFont="1" applyBorder="1" applyAlignment="1">
      <alignment horizontal="right" vertical="center" wrapText="1"/>
    </xf>
  </cellXfs>
  <cellStyles count="2">
    <cellStyle name="Normal" xfId="0" builtinId="0"/>
    <cellStyle name="Normal 2" xfId="1" xr:uid="{00000000-0005-0000-0000-000001000000}"/>
  </cellStyles>
  <dxfs count="54">
    <dxf>
      <font>
        <b/>
        <color rgb="FF9C0006"/>
      </font>
      <fill>
        <patternFill>
          <bgColor rgb="FFF4CCCC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B91C1C"/>
      </font>
      <fill>
        <patternFill>
          <bgColor rgb="FFFECACA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80"/>
  <sheetViews>
    <sheetView zoomScale="76" workbookViewId="0">
      <selection activeCell="D40" sqref="D40"/>
    </sheetView>
  </sheetViews>
  <sheetFormatPr defaultRowHeight="14.5" x14ac:dyDescent="0.35"/>
  <cols>
    <col min="2" max="2" width="34" customWidth="1"/>
    <col min="3" max="5" width="7.90625" customWidth="1"/>
    <col min="6" max="6" width="8.90625" customWidth="1"/>
    <col min="8" max="8" width="54" customWidth="1"/>
  </cols>
  <sheetData>
    <row r="1" spans="2:12" x14ac:dyDescent="0.35">
      <c r="C1" s="92" t="s">
        <v>0</v>
      </c>
      <c r="D1" t="s">
        <v>1</v>
      </c>
      <c r="E1" s="92" t="s">
        <v>2</v>
      </c>
    </row>
    <row r="2" spans="2:12" x14ac:dyDescent="0.35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H2" s="89" t="s">
        <v>8</v>
      </c>
      <c r="I2" s="2" t="s">
        <v>9</v>
      </c>
      <c r="J2" s="2" t="s">
        <v>10</v>
      </c>
      <c r="K2" s="2" t="s">
        <v>0</v>
      </c>
      <c r="L2" s="2" t="s">
        <v>1</v>
      </c>
    </row>
    <row r="3" spans="2:12" x14ac:dyDescent="0.35">
      <c r="B3" t="s">
        <v>11</v>
      </c>
      <c r="C3" s="4">
        <v>5.13</v>
      </c>
      <c r="D3" s="4">
        <v>6.46</v>
      </c>
      <c r="E3" s="4">
        <v>2.34</v>
      </c>
      <c r="F3" s="4">
        <v>10.220000000000001</v>
      </c>
      <c r="H3" t="s">
        <v>12</v>
      </c>
      <c r="I3" s="8">
        <f ca="1">'O&amp;G&gt;&gt;'!C6</f>
        <v>4.4334162472003613E-2</v>
      </c>
      <c r="J3" s="8">
        <f ca="1">'Biotech&gt;&gt;'!C6</f>
        <v>0.26583922017857226</v>
      </c>
      <c r="K3" s="8">
        <f ca="1">'Technology&gt;&gt;'!C6</f>
        <v>8.8860134052762496E-2</v>
      </c>
      <c r="L3" s="8">
        <f ca="1">'Pharma&gt;&gt;'!C6</f>
        <v>6.8277686431582704E-2</v>
      </c>
    </row>
    <row r="4" spans="2:12" x14ac:dyDescent="0.35">
      <c r="B4" t="s">
        <v>13</v>
      </c>
      <c r="C4" s="4">
        <v>25.12</v>
      </c>
      <c r="D4" s="4">
        <v>0</v>
      </c>
      <c r="E4" s="4">
        <v>0</v>
      </c>
      <c r="F4" s="4">
        <v>2.74</v>
      </c>
      <c r="H4" t="s">
        <v>14</v>
      </c>
      <c r="I4" s="8">
        <f ca="1">'O&amp;G&gt;&gt;'!C7</f>
        <v>9.9538573384820323E-4</v>
      </c>
      <c r="J4" s="8">
        <f ca="1">'Biotech&gt;&gt;'!C7</f>
        <v>2.8661458802732742E-2</v>
      </c>
      <c r="K4" s="8">
        <f ca="1">'Technology&gt;&gt;'!C7</f>
        <v>0.10693764514022133</v>
      </c>
      <c r="L4" s="8">
        <f ca="1">'Pharma&gt;&gt;'!C7</f>
        <v>3.8361787599891381E-2</v>
      </c>
    </row>
    <row r="5" spans="2:12" x14ac:dyDescent="0.35">
      <c r="B5" t="s">
        <v>15</v>
      </c>
      <c r="C5" s="4">
        <v>18.600000000000001</v>
      </c>
      <c r="D5" s="4">
        <v>15.79</v>
      </c>
      <c r="E5" s="4">
        <v>3.06</v>
      </c>
      <c r="F5" s="4">
        <v>4.5599999999999996</v>
      </c>
      <c r="H5" t="s">
        <v>16</v>
      </c>
      <c r="I5" s="8">
        <f ca="1">'O&amp;G&gt;&gt;'!C8</f>
        <v>5.8588596162956232E-2</v>
      </c>
      <c r="J5" s="8">
        <f ca="1">'Biotech&gt;&gt;'!C8</f>
        <v>0.12034976508952197</v>
      </c>
      <c r="K5" s="8">
        <f ca="1">'Technology&gt;&gt;'!C8</f>
        <v>8.8276020045693029E-2</v>
      </c>
      <c r="L5" s="8">
        <f ca="1">'Pharma&gt;&gt;'!C8</f>
        <v>0.11083459439478575</v>
      </c>
    </row>
    <row r="6" spans="2:12" x14ac:dyDescent="0.35">
      <c r="B6" t="s">
        <v>17</v>
      </c>
      <c r="C6" s="4">
        <v>10.35</v>
      </c>
      <c r="D6" s="4">
        <v>12.22</v>
      </c>
      <c r="E6" s="4">
        <v>2.17</v>
      </c>
      <c r="F6" s="4">
        <v>7.36</v>
      </c>
      <c r="H6" t="s">
        <v>18</v>
      </c>
      <c r="I6" s="8">
        <f ca="1">'O&amp;G&gt;&gt;'!C9</f>
        <v>5.8704829927514947E-2</v>
      </c>
      <c r="J6" s="8">
        <f ca="1">'Biotech&gt;&gt;'!C9</f>
        <v>3.2203793093095803E-2</v>
      </c>
      <c r="K6" s="8">
        <f ca="1">'Technology&gt;&gt;'!C9</f>
        <v>6.4861902509698047E-2</v>
      </c>
      <c r="L6" s="8">
        <f ca="1">'Pharma&gt;&gt;'!C9</f>
        <v>7.908634677485081E-2</v>
      </c>
    </row>
    <row r="7" spans="2:12" x14ac:dyDescent="0.35">
      <c r="B7" t="s">
        <v>19</v>
      </c>
      <c r="C7" s="4">
        <v>1.54</v>
      </c>
      <c r="D7" s="4">
        <v>14.99</v>
      </c>
      <c r="E7" s="4">
        <v>2.92</v>
      </c>
      <c r="F7" s="4">
        <v>5.6</v>
      </c>
      <c r="H7" t="s">
        <v>20</v>
      </c>
      <c r="I7" s="8">
        <f ca="1">'O&amp;G&gt;&gt;'!C10</f>
        <v>4.5459006068344562E-2</v>
      </c>
      <c r="J7" s="8">
        <f ca="1">'Biotech&gt;&gt;'!C10</f>
        <v>4.7883613226106986E-2</v>
      </c>
      <c r="K7" s="8">
        <f ca="1">'Technology&gt;&gt;'!C10</f>
        <v>3.9079974861097912E-2</v>
      </c>
      <c r="L7" s="8">
        <f ca="1">'Pharma&gt;&gt;'!C10</f>
        <v>7.2524794647406562E-2</v>
      </c>
    </row>
    <row r="8" spans="2:12" x14ac:dyDescent="0.35">
      <c r="B8" s="1" t="s">
        <v>21</v>
      </c>
      <c r="C8" s="5">
        <f>SUM(C3:C7)</f>
        <v>60.74</v>
      </c>
      <c r="D8" s="5">
        <f t="shared" ref="D8:F8" si="0">SUM(D3:D7)</f>
        <v>49.46</v>
      </c>
      <c r="E8" s="5">
        <f t="shared" si="0"/>
        <v>10.49</v>
      </c>
      <c r="F8" s="5">
        <f t="shared" si="0"/>
        <v>30.479999999999997</v>
      </c>
      <c r="H8" s="88" t="s">
        <v>22</v>
      </c>
      <c r="I8" s="90">
        <f ca="1">'O&amp;G&gt;&gt;'!C11</f>
        <v>0.20808198036466757</v>
      </c>
      <c r="J8" s="90">
        <f ca="1">'Biotech&gt;&gt;'!C11</f>
        <v>0.49493785039002974</v>
      </c>
      <c r="K8" s="90">
        <f ca="1">'Technology&gt;&gt;'!C11</f>
        <v>0.38801567660947284</v>
      </c>
      <c r="L8" s="90">
        <f ca="1">'Pharma&gt;&gt;'!C11</f>
        <v>0.36908520984851723</v>
      </c>
    </row>
    <row r="9" spans="2:12" x14ac:dyDescent="0.35">
      <c r="B9" s="1"/>
      <c r="C9" s="1"/>
      <c r="D9" s="1"/>
      <c r="E9" s="1"/>
      <c r="F9" s="1"/>
    </row>
    <row r="10" spans="2:12" x14ac:dyDescent="0.35">
      <c r="B10" t="s">
        <v>23</v>
      </c>
      <c r="C10" s="4">
        <f>C11-C12</f>
        <v>6.4</v>
      </c>
      <c r="D10" s="4">
        <f>D11-D12</f>
        <v>21.93</v>
      </c>
      <c r="E10" s="4">
        <f>E11-E12</f>
        <v>76.680000000000007</v>
      </c>
      <c r="F10" s="4">
        <f>F11-F12</f>
        <v>11.279999999999998</v>
      </c>
    </row>
    <row r="11" spans="2:12" x14ac:dyDescent="0.35">
      <c r="B11" s="91" t="s">
        <v>24</v>
      </c>
      <c r="C11" s="4">
        <v>9.59</v>
      </c>
      <c r="D11" s="4">
        <v>33.1</v>
      </c>
      <c r="E11" s="4">
        <v>164.71</v>
      </c>
      <c r="F11" s="4">
        <v>21.24</v>
      </c>
      <c r="H11" t="s">
        <v>25</v>
      </c>
      <c r="I11" s="8">
        <f ca="1">'O&amp;G&gt;&gt;'!C13</f>
        <v>3.3376611148151531E-3</v>
      </c>
      <c r="J11" s="8">
        <f ca="1">'Biotech&gt;&gt;'!C13</f>
        <v>4.1423820079487354E-3</v>
      </c>
      <c r="K11" s="8">
        <f ca="1">'Technology&gt;&gt;'!C13</f>
        <v>2.2570739135575304E-2</v>
      </c>
      <c r="L11" s="8">
        <f ca="1">'Pharma&gt;&gt;'!C13</f>
        <v>8.8218136676184167E-3</v>
      </c>
    </row>
    <row r="12" spans="2:12" x14ac:dyDescent="0.35">
      <c r="B12" s="91" t="s">
        <v>26</v>
      </c>
      <c r="C12" s="4">
        <v>3.19</v>
      </c>
      <c r="D12" s="4">
        <v>11.17</v>
      </c>
      <c r="E12" s="4">
        <v>88.03</v>
      </c>
      <c r="F12" s="4">
        <v>9.9600000000000009</v>
      </c>
      <c r="H12" t="s">
        <v>27</v>
      </c>
      <c r="I12" s="8">
        <f ca="1">'O&amp;G&gt;&gt;'!C14</f>
        <v>0.66171932656617471</v>
      </c>
      <c r="J12" s="8">
        <f ca="1">'Biotech&gt;&gt;'!C14</f>
        <v>7.0967518078641836E-2</v>
      </c>
      <c r="K12" s="8">
        <f ca="1">'Technology&gt;&gt;'!C14</f>
        <v>0.29175238814413529</v>
      </c>
      <c r="L12" s="8">
        <f ca="1">'Pharma&gt;&gt;'!C14</f>
        <v>0.19428293333743374</v>
      </c>
    </row>
    <row r="13" spans="2:12" x14ac:dyDescent="0.35">
      <c r="B13" t="s">
        <v>28</v>
      </c>
      <c r="C13" s="4">
        <v>0</v>
      </c>
      <c r="D13" s="4">
        <v>2.4900000000000002</v>
      </c>
      <c r="E13" s="4">
        <v>0</v>
      </c>
      <c r="F13" s="4">
        <v>4.0199999999999996</v>
      </c>
      <c r="H13" t="s">
        <v>29</v>
      </c>
      <c r="I13" s="8">
        <f ca="1">'O&amp;G&gt;&gt;'!C15</f>
        <v>5.1757645160517944E-3</v>
      </c>
      <c r="J13" s="8">
        <f ca="1">'Biotech&gt;&gt;'!C15</f>
        <v>0.37396698089670333</v>
      </c>
      <c r="K13" s="8">
        <f ca="1">'Technology&gt;&gt;'!C15</f>
        <v>0.23988600477926769</v>
      </c>
      <c r="L13" s="8">
        <f ca="1">'Pharma&gt;&gt;'!C15</f>
        <v>0.30678050194527828</v>
      </c>
    </row>
    <row r="14" spans="2:12" x14ac:dyDescent="0.35">
      <c r="B14" t="s">
        <v>30</v>
      </c>
      <c r="C14" s="4">
        <v>32.86</v>
      </c>
      <c r="D14" s="4">
        <v>26.11</v>
      </c>
      <c r="E14" s="4">
        <v>12.84</v>
      </c>
      <c r="F14" s="4">
        <v>54.22</v>
      </c>
      <c r="H14" t="s">
        <v>31</v>
      </c>
      <c r="I14" s="8">
        <f ca="1">'O&amp;G&gt;&gt;'!C16</f>
        <v>0.12168526743829076</v>
      </c>
      <c r="J14" s="8">
        <f ca="1">'Biotech&gt;&gt;'!C16</f>
        <v>5.5985268626676306E-2</v>
      </c>
      <c r="K14" s="8">
        <f ca="1">'Technology&gt;&gt;'!C16</f>
        <v>5.7775191331548896E-2</v>
      </c>
      <c r="L14" s="8">
        <f ca="1">'Pharma&gt;&gt;'!C16</f>
        <v>0.12102954120115236</v>
      </c>
    </row>
    <row r="15" spans="2:12" x14ac:dyDescent="0.35">
      <c r="B15" s="1" t="s">
        <v>32</v>
      </c>
      <c r="C15" s="5">
        <f>SUM(C13:C14,C10)</f>
        <v>39.26</v>
      </c>
      <c r="D15" s="5">
        <f t="shared" ref="D15:F15" si="1">SUM(D13:D14,D10)</f>
        <v>50.53</v>
      </c>
      <c r="E15" s="5">
        <f t="shared" si="1"/>
        <v>89.52000000000001</v>
      </c>
      <c r="F15" s="5">
        <f t="shared" si="1"/>
        <v>69.52</v>
      </c>
      <c r="H15" s="88" t="s">
        <v>33</v>
      </c>
      <c r="I15" s="90">
        <f ca="1">'O&amp;G&gt;&gt;'!C17</f>
        <v>0.79191801963533237</v>
      </c>
      <c r="J15" s="90">
        <f ca="1">'Biotech&gt;&gt;'!C17</f>
        <v>0.50506214960997031</v>
      </c>
      <c r="K15" s="90">
        <f ca="1">'Technology&gt;&gt;'!C17</f>
        <v>0.61198432339052711</v>
      </c>
      <c r="L15" s="90">
        <f ca="1">'Pharma&gt;&gt;'!C17</f>
        <v>0.63091479015148277</v>
      </c>
    </row>
    <row r="16" spans="2:12" x14ac:dyDescent="0.35">
      <c r="I16" s="8"/>
      <c r="J16" s="8"/>
      <c r="K16" s="8"/>
      <c r="L16" s="8"/>
    </row>
    <row r="17" spans="2:12" x14ac:dyDescent="0.35">
      <c r="B17" s="1" t="s">
        <v>34</v>
      </c>
      <c r="C17" s="3">
        <f>C15+C8</f>
        <v>100</v>
      </c>
      <c r="D17" s="3">
        <f t="shared" ref="D17:F17" si="2">D15+D8</f>
        <v>99.990000000000009</v>
      </c>
      <c r="E17" s="3">
        <f t="shared" si="2"/>
        <v>100.01</v>
      </c>
      <c r="F17" s="3">
        <f t="shared" si="2"/>
        <v>100</v>
      </c>
      <c r="H17" s="88" t="s">
        <v>35</v>
      </c>
      <c r="I17" s="90">
        <f ca="1">'O&amp;G&gt;&gt;'!C18</f>
        <v>1</v>
      </c>
      <c r="J17" s="90">
        <f ca="1">'Biotech&gt;&gt;'!C18</f>
        <v>1</v>
      </c>
      <c r="K17" s="90">
        <f ca="1">'Technology&gt;&gt;'!C18</f>
        <v>1</v>
      </c>
      <c r="L17" s="90">
        <f ca="1">'Pharma&gt;&gt;'!C18</f>
        <v>1</v>
      </c>
    </row>
    <row r="18" spans="2:12" x14ac:dyDescent="0.35">
      <c r="B18" s="1"/>
      <c r="C18" s="1"/>
      <c r="D18" s="1"/>
      <c r="E18" s="1"/>
      <c r="F18" s="1"/>
    </row>
    <row r="19" spans="2:12" x14ac:dyDescent="0.35">
      <c r="B19" t="s">
        <v>36</v>
      </c>
      <c r="C19" s="4">
        <v>4.74</v>
      </c>
      <c r="D19" s="4">
        <v>4.78</v>
      </c>
      <c r="E19" s="4">
        <v>3.9</v>
      </c>
      <c r="F19" s="4">
        <v>1.47</v>
      </c>
      <c r="H19" t="s">
        <v>37</v>
      </c>
      <c r="I19" s="8">
        <f ca="1">'O&amp;G&gt;&gt;'!C20</f>
        <v>9.140851999542117E-2</v>
      </c>
      <c r="J19" s="8">
        <f ca="1">'Biotech&gt;&gt;'!C20</f>
        <v>4.0048569233095743E-2</v>
      </c>
      <c r="K19" s="8">
        <f ca="1">'Technology&gt;&gt;'!C20</f>
        <v>3.8486151299131383E-2</v>
      </c>
      <c r="L19" s="8">
        <f ca="1">'Pharma&gt;&gt;'!C20</f>
        <v>4.5566989628282019E-2</v>
      </c>
    </row>
    <row r="20" spans="2:12" x14ac:dyDescent="0.35">
      <c r="B20" t="s">
        <v>38</v>
      </c>
      <c r="C20" s="4">
        <v>0.66</v>
      </c>
      <c r="D20" s="4">
        <v>1.65</v>
      </c>
      <c r="E20" s="4">
        <v>2.34</v>
      </c>
      <c r="F20" s="4">
        <v>0.27</v>
      </c>
      <c r="H20" t="s">
        <v>39</v>
      </c>
      <c r="I20" s="8">
        <f ca="1">'O&amp;G&gt;&gt;'!C21</f>
        <v>1.2116478210976254E-2</v>
      </c>
      <c r="J20" s="8">
        <f ca="1">'Biotech&gt;&gt;'!C21</f>
        <v>2.7344936685773837E-2</v>
      </c>
      <c r="K20" s="8">
        <f ca="1">'Technology&gt;&gt;'!C21</f>
        <v>9.3649772496191934E-3</v>
      </c>
      <c r="L20" s="8">
        <f ca="1">'Pharma&gt;&gt;'!C21</f>
        <v>3.0237708289930096E-2</v>
      </c>
    </row>
    <row r="21" spans="2:12" x14ac:dyDescent="0.35">
      <c r="B21" t="s">
        <v>40</v>
      </c>
      <c r="C21" s="4">
        <v>10.14</v>
      </c>
      <c r="D21" s="4">
        <v>24.89</v>
      </c>
      <c r="E21" s="4">
        <v>4.96</v>
      </c>
      <c r="F21" s="4">
        <v>9.64</v>
      </c>
      <c r="H21" t="s">
        <v>41</v>
      </c>
      <c r="I21" s="8">
        <f ca="1">'O&amp;G&gt;&gt;'!C22</f>
        <v>4.7882543781855011E-2</v>
      </c>
      <c r="J21" s="8">
        <f ca="1">'Biotech&gt;&gt;'!C22</f>
        <v>0.14517892689995515</v>
      </c>
      <c r="K21" s="8">
        <f ca="1">'Technology&gt;&gt;'!C22</f>
        <v>9.1548470450102823E-2</v>
      </c>
      <c r="L21" s="8">
        <f ca="1">'Pharma&gt;&gt;'!C22</f>
        <v>0.19167828724474081</v>
      </c>
    </row>
    <row r="22" spans="2:12" x14ac:dyDescent="0.35">
      <c r="B22" s="1" t="s">
        <v>42</v>
      </c>
      <c r="C22" s="5">
        <f>SUM(C19:C21)</f>
        <v>15.540000000000001</v>
      </c>
      <c r="D22" s="5">
        <f t="shared" ref="D22:F22" si="3">SUM(D19:D21)</f>
        <v>31.32</v>
      </c>
      <c r="E22" s="5">
        <f t="shared" si="3"/>
        <v>11.2</v>
      </c>
      <c r="F22" s="5">
        <f t="shared" si="3"/>
        <v>11.38</v>
      </c>
      <c r="H22" s="88" t="s">
        <v>43</v>
      </c>
      <c r="I22" s="90">
        <f ca="1">'O&amp;G&gt;&gt;'!C23</f>
        <v>0.15140754198825243</v>
      </c>
      <c r="J22" s="90">
        <f ca="1">'Biotech&gt;&gt;'!C23</f>
        <v>0.21257243281882471</v>
      </c>
      <c r="K22" s="90">
        <f ca="1">'Technology&gt;&gt;'!C23</f>
        <v>0.1393995989988534</v>
      </c>
      <c r="L22" s="90">
        <f ca="1">'Pharma&gt;&gt;'!C23</f>
        <v>0.26748298516295299</v>
      </c>
    </row>
    <row r="23" spans="2:12" x14ac:dyDescent="0.35">
      <c r="B23" s="1"/>
      <c r="C23" s="5"/>
      <c r="D23" s="5"/>
      <c r="E23" s="5"/>
      <c r="F23" s="5"/>
      <c r="I23" s="8"/>
      <c r="J23" s="8"/>
      <c r="K23" s="8"/>
      <c r="L23" s="8"/>
    </row>
    <row r="24" spans="2:12" x14ac:dyDescent="0.35">
      <c r="B24" t="s">
        <v>44</v>
      </c>
      <c r="C24" s="4">
        <v>4.8600000000000003</v>
      </c>
      <c r="D24" s="4">
        <v>37.35</v>
      </c>
      <c r="E24" s="4">
        <v>24.5</v>
      </c>
      <c r="F24" s="4">
        <v>22.34</v>
      </c>
      <c r="H24" t="s">
        <v>45</v>
      </c>
      <c r="I24" s="8">
        <f ca="1">'O&amp;G&gt;&gt;'!C25</f>
        <v>0.13748423289424999</v>
      </c>
      <c r="J24" s="8">
        <f ca="1">'Biotech&gt;&gt;'!C25</f>
        <v>0.21819869166554465</v>
      </c>
      <c r="K24" s="8">
        <f ca="1">'Technology&gt;&gt;'!C25</f>
        <v>0.20402456081436543</v>
      </c>
      <c r="L24" s="8">
        <f ca="1">'Pharma&gt;&gt;'!C25</f>
        <v>0.29690847399783493</v>
      </c>
    </row>
    <row r="25" spans="2:12" x14ac:dyDescent="0.35">
      <c r="B25" t="s">
        <v>46</v>
      </c>
      <c r="C25" s="4">
        <v>3.53</v>
      </c>
      <c r="D25" s="4">
        <v>7.74</v>
      </c>
      <c r="E25" s="4">
        <v>20.83</v>
      </c>
      <c r="F25" s="4">
        <v>4.2699999999999996</v>
      </c>
      <c r="H25" t="s">
        <v>47</v>
      </c>
      <c r="I25" s="8">
        <f ca="1">'O&amp;G&gt;&gt;'!C26</f>
        <v>0.16745564384636147</v>
      </c>
      <c r="J25" s="8">
        <f ca="1">'Biotech&gt;&gt;'!C26</f>
        <v>2.7724485041706402E-2</v>
      </c>
      <c r="K25" s="8">
        <f ca="1">'Technology&gt;&gt;'!C26</f>
        <v>4.7132057099841695E-2</v>
      </c>
      <c r="L25" s="8">
        <f ca="1">'Pharma&gt;&gt;'!C26</f>
        <v>8.4063526611213177E-2</v>
      </c>
    </row>
    <row r="26" spans="2:12" x14ac:dyDescent="0.35">
      <c r="B26" s="1" t="s">
        <v>48</v>
      </c>
      <c r="C26" s="5">
        <f>SUM(C24:C25)</f>
        <v>8.39</v>
      </c>
      <c r="D26" s="5">
        <f t="shared" ref="D26:F26" si="4">SUM(D24:D25)</f>
        <v>45.09</v>
      </c>
      <c r="E26" s="5">
        <f t="shared" si="4"/>
        <v>45.33</v>
      </c>
      <c r="F26" s="5">
        <f t="shared" si="4"/>
        <v>26.61</v>
      </c>
      <c r="H26" s="88" t="s">
        <v>49</v>
      </c>
      <c r="I26" s="90">
        <f ca="1">'O&amp;G&gt;&gt;'!C27</f>
        <v>0.30493987674061152</v>
      </c>
      <c r="J26" s="90">
        <f ca="1">'Biotech&gt;&gt;'!C27</f>
        <v>0.24592317670725106</v>
      </c>
      <c r="K26" s="90">
        <f ca="1">'Technology&gt;&gt;'!C27</f>
        <v>0.25115661791420707</v>
      </c>
      <c r="L26" s="90">
        <f ca="1">'Pharma&gt;&gt;'!C27</f>
        <v>0.38097200060904801</v>
      </c>
    </row>
    <row r="27" spans="2:12" x14ac:dyDescent="0.35">
      <c r="C27" s="4"/>
      <c r="D27" s="4"/>
      <c r="E27" s="4"/>
      <c r="F27" s="4"/>
    </row>
    <row r="28" spans="2:12" x14ac:dyDescent="0.35">
      <c r="B28" s="1" t="s">
        <v>50</v>
      </c>
      <c r="C28" s="5">
        <f>SUM(C26+C22)</f>
        <v>23.93</v>
      </c>
      <c r="D28" s="5">
        <f t="shared" ref="D28:F28" si="5">SUM(D26+D22)</f>
        <v>76.41</v>
      </c>
      <c r="E28" s="5">
        <f t="shared" si="5"/>
        <v>56.53</v>
      </c>
      <c r="F28" s="5">
        <f t="shared" si="5"/>
        <v>37.99</v>
      </c>
      <c r="H28" s="88" t="s">
        <v>51</v>
      </c>
      <c r="I28" s="90">
        <f ca="1">'O&amp;G&gt;&gt;'!C28</f>
        <v>0.45634741872886392</v>
      </c>
      <c r="J28" s="90">
        <f ca="1">'Biotech&gt;&gt;'!C28</f>
        <v>0.45849560952607576</v>
      </c>
      <c r="K28" s="90">
        <f ca="1">'Technology&gt;&gt;'!C28</f>
        <v>0.39055621691306053</v>
      </c>
      <c r="L28" s="90">
        <f ca="1">'Pharma&gt;&gt;'!C28</f>
        <v>0.648454985772001</v>
      </c>
    </row>
    <row r="30" spans="2:12" x14ac:dyDescent="0.35">
      <c r="B30" t="s">
        <v>52</v>
      </c>
      <c r="C30" s="4">
        <v>0</v>
      </c>
      <c r="D30" s="4">
        <v>0</v>
      </c>
      <c r="E30" s="4">
        <v>10.59</v>
      </c>
      <c r="F30" s="4">
        <v>0</v>
      </c>
    </row>
    <row r="31" spans="2:12" x14ac:dyDescent="0.35">
      <c r="B31" t="s">
        <v>54</v>
      </c>
      <c r="C31" s="4">
        <v>0</v>
      </c>
      <c r="D31" s="4">
        <v>0</v>
      </c>
      <c r="E31" s="4">
        <v>0.67</v>
      </c>
      <c r="F31" s="4">
        <v>0</v>
      </c>
      <c r="H31" t="s">
        <v>53</v>
      </c>
      <c r="I31" s="8">
        <f ca="1">'O&amp;G&gt;&gt;'!C30</f>
        <v>0.52278681304851216</v>
      </c>
      <c r="J31" s="8">
        <f ca="1">'Biotech&gt;&gt;'!C30</f>
        <v>0.54044421216061589</v>
      </c>
      <c r="K31" s="8">
        <f ca="1">'Technology&gt;&gt;'!C30</f>
        <v>0.59516121068674843</v>
      </c>
      <c r="L31" s="8">
        <f ca="1">'Pharma&gt;&gt;'!C30</f>
        <v>0.34131887594168192</v>
      </c>
    </row>
    <row r="32" spans="2:12" x14ac:dyDescent="0.35">
      <c r="B32" t="s">
        <v>56</v>
      </c>
      <c r="C32" s="4">
        <v>76.06</v>
      </c>
      <c r="D32" s="4">
        <v>23.59</v>
      </c>
      <c r="E32" s="4">
        <v>32.21</v>
      </c>
      <c r="F32" s="4">
        <v>62.01</v>
      </c>
      <c r="H32" t="s">
        <v>55</v>
      </c>
      <c r="I32" s="8">
        <f ca="1">'O&amp;G&gt;&gt;'!C31</f>
        <v>2.0865768222623992E-2</v>
      </c>
      <c r="J32" s="8">
        <f ca="1">'Biotech&gt;&gt;'!C31</f>
        <v>1.0603125834891798E-3</v>
      </c>
      <c r="K32" s="8">
        <f ca="1">'Technology&gt;&gt;'!C31</f>
        <v>1.428257240019108E-2</v>
      </c>
      <c r="L32" s="8">
        <f ca="1">'Pharma&gt;&gt;'!C31</f>
        <v>1.0226118617092083E-2</v>
      </c>
    </row>
    <row r="33" spans="2:12" x14ac:dyDescent="0.35">
      <c r="B33" s="1" t="s">
        <v>58</v>
      </c>
      <c r="C33" s="7">
        <f>SUM(C30:C32)</f>
        <v>76.06</v>
      </c>
      <c r="D33" s="7">
        <f t="shared" ref="D33:F33" si="6">SUM(D30:D32)</f>
        <v>23.59</v>
      </c>
      <c r="E33" s="7">
        <f t="shared" si="6"/>
        <v>43.47</v>
      </c>
      <c r="F33" s="7">
        <f t="shared" si="6"/>
        <v>62.01</v>
      </c>
      <c r="H33" s="1" t="s">
        <v>788</v>
      </c>
      <c r="I33" s="8">
        <f ca="1">'O&amp;G&gt;&gt;'!C32</f>
        <v>0.54365258127113614</v>
      </c>
      <c r="J33" s="8">
        <f ca="1">'Biotech&gt;&gt;'!C32</f>
        <v>0.54150452474410504</v>
      </c>
      <c r="K33" s="8">
        <f ca="1">'Technology&gt;&gt;'!C32</f>
        <v>0.60944378308693947</v>
      </c>
      <c r="L33" s="8">
        <f ca="1">'Pharma&gt;&gt;'!C32</f>
        <v>0.35154499455877403</v>
      </c>
    </row>
    <row r="35" spans="2:12" x14ac:dyDescent="0.35">
      <c r="B35" s="1" t="s">
        <v>59</v>
      </c>
      <c r="C35" s="6">
        <f>C33+C28</f>
        <v>99.990000000000009</v>
      </c>
      <c r="D35" s="6">
        <f>D33+D28</f>
        <v>100</v>
      </c>
      <c r="E35" s="6">
        <f>E33+E28</f>
        <v>100</v>
      </c>
      <c r="F35" s="6">
        <f>F33+F28</f>
        <v>100</v>
      </c>
      <c r="H35" s="88" t="s">
        <v>60</v>
      </c>
      <c r="I35" s="90">
        <f ca="1">'O&amp;G&gt;&gt;'!C33</f>
        <v>1</v>
      </c>
      <c r="J35" s="90">
        <f ca="1">'Biotech&gt;&gt;'!C33</f>
        <v>1.0000001342701808</v>
      </c>
      <c r="K35" s="90">
        <f ca="1">'Technology&gt;&gt;'!C33</f>
        <v>1</v>
      </c>
      <c r="L35" s="90">
        <f ca="1">'Pharma&gt;&gt;'!C33</f>
        <v>0.99999998033077497</v>
      </c>
    </row>
    <row r="36" spans="2:12" x14ac:dyDescent="0.35">
      <c r="I36" s="8"/>
      <c r="J36" s="8"/>
      <c r="K36" s="8"/>
      <c r="L36" s="8"/>
    </row>
    <row r="37" spans="2:12" x14ac:dyDescent="0.35">
      <c r="I37" s="8"/>
      <c r="J37" s="8"/>
      <c r="K37" s="8"/>
      <c r="L37" s="8"/>
    </row>
    <row r="38" spans="2:12" x14ac:dyDescent="0.35">
      <c r="B38" s="2" t="s">
        <v>61</v>
      </c>
      <c r="C38" s="2" t="s">
        <v>4</v>
      </c>
      <c r="D38" s="2" t="s">
        <v>5</v>
      </c>
      <c r="E38" s="2" t="s">
        <v>6</v>
      </c>
      <c r="F38" s="2" t="s">
        <v>7</v>
      </c>
      <c r="H38" s="88" t="s">
        <v>62</v>
      </c>
      <c r="I38" s="8"/>
      <c r="J38" s="8"/>
      <c r="K38" s="8"/>
      <c r="L38" s="8"/>
    </row>
    <row r="39" spans="2:12" x14ac:dyDescent="0.35">
      <c r="B39" t="s">
        <v>63</v>
      </c>
      <c r="C39" s="8">
        <v>1.0148999999999999</v>
      </c>
      <c r="D39" s="8">
        <v>1.0116000000000001</v>
      </c>
      <c r="E39" s="8">
        <v>6.1600000000000002E-2</v>
      </c>
      <c r="F39" s="8">
        <v>7.3899999999999993E-2</v>
      </c>
      <c r="H39" s="88" t="s">
        <v>64</v>
      </c>
      <c r="I39" s="90">
        <f ca="1">'O&amp;G&gt;&gt;'!C37</f>
        <v>1</v>
      </c>
      <c r="J39" s="90">
        <f ca="1">'Biotech&gt;&gt;'!C37</f>
        <v>1</v>
      </c>
      <c r="K39" s="90">
        <f ca="1">'Technology&gt;&gt;'!C37</f>
        <v>1</v>
      </c>
      <c r="L39" s="90">
        <f ca="1">'Pharma&gt;&gt;'!C37</f>
        <v>1</v>
      </c>
    </row>
    <row r="40" spans="2:12" x14ac:dyDescent="0.35">
      <c r="B40" t="s">
        <v>65</v>
      </c>
      <c r="C40" s="8">
        <v>0.6038</v>
      </c>
      <c r="D40" s="8">
        <v>0.40350000000000003</v>
      </c>
      <c r="E40" s="8">
        <v>0.1812</v>
      </c>
      <c r="F40" s="8">
        <v>0.1883</v>
      </c>
      <c r="H40" t="s">
        <v>66</v>
      </c>
      <c r="I40" s="8">
        <f ca="1">'O&amp;G&gt;&gt;'!C38</f>
        <v>0.79133438059716099</v>
      </c>
      <c r="J40" s="8">
        <f ca="1">'Biotech&gt;&gt;'!C38</f>
        <v>0.43841281992523551</v>
      </c>
      <c r="K40" s="8">
        <f ca="1">'Technology&gt;&gt;'!C38</f>
        <v>0.46436960921029879</v>
      </c>
      <c r="L40" s="8">
        <f ca="1">'Pharma&gt;&gt;'!C38</f>
        <v>0.2449251586877344</v>
      </c>
    </row>
    <row r="41" spans="2:12" x14ac:dyDescent="0.35">
      <c r="B41" t="s">
        <v>67</v>
      </c>
      <c r="C41" s="4">
        <v>3.14</v>
      </c>
      <c r="D41" s="4">
        <v>0.71</v>
      </c>
      <c r="E41" s="4">
        <v>0.48</v>
      </c>
      <c r="F41" s="4">
        <v>1.54</v>
      </c>
      <c r="H41" s="88" t="s">
        <v>68</v>
      </c>
      <c r="I41" s="90">
        <f ca="1">'O&amp;G&gt;&gt;'!C39</f>
        <v>0.20866561940283898</v>
      </c>
      <c r="J41" s="90">
        <f ca="1">'Biotech&gt;&gt;'!C39</f>
        <v>0.56158718007476438</v>
      </c>
      <c r="K41" s="90">
        <f ca="1">'Technology&gt;&gt;'!C39</f>
        <v>0.53563039078970109</v>
      </c>
      <c r="L41" s="90">
        <f ca="1">'Pharma&gt;&gt;'!C39</f>
        <v>0.75507484131226565</v>
      </c>
    </row>
    <row r="42" spans="2:12" x14ac:dyDescent="0.35">
      <c r="B42" t="s">
        <v>69</v>
      </c>
      <c r="C42" s="4">
        <v>3.91</v>
      </c>
      <c r="D42" s="4">
        <v>1.58</v>
      </c>
      <c r="E42" s="4">
        <v>0.94</v>
      </c>
      <c r="F42" s="4">
        <v>2.68</v>
      </c>
      <c r="H42" t="s">
        <v>70</v>
      </c>
      <c r="I42" s="8">
        <f ca="1">'O&amp;G&gt;&gt;'!C40</f>
        <v>5.8566314100249879E-2</v>
      </c>
      <c r="J42" s="8">
        <f ca="1">'Biotech&gt;&gt;'!C40</f>
        <v>0.23476430162642023</v>
      </c>
      <c r="K42" s="8">
        <f ca="1">'Technology&gt;&gt;'!C40</f>
        <v>5.309774478928983E-2</v>
      </c>
      <c r="L42" s="8">
        <f ca="1">'Pharma&gt;&gt;'!C40</f>
        <v>0.20364667444057891</v>
      </c>
    </row>
    <row r="43" spans="2:12" x14ac:dyDescent="0.35">
      <c r="B43" t="s">
        <v>71</v>
      </c>
      <c r="C43" s="4">
        <v>91.72</v>
      </c>
      <c r="D43" s="4">
        <v>352.27</v>
      </c>
      <c r="E43" s="4">
        <v>0</v>
      </c>
      <c r="F43" s="4">
        <v>0</v>
      </c>
      <c r="H43" t="s">
        <v>72</v>
      </c>
      <c r="I43" s="8">
        <f ca="1">'O&amp;G&gt;&gt;'!C41</f>
        <v>1.8574353587449922E-3</v>
      </c>
      <c r="J43" s="8">
        <f ca="1">'Biotech&gt;&gt;'!C41</f>
        <v>0.1817882576340713</v>
      </c>
      <c r="K43" s="8">
        <f ca="1">'Technology&gt;&gt;'!C41</f>
        <v>0.1582498276683969</v>
      </c>
      <c r="L43" s="8">
        <f ca="1">'Pharma&gt;&gt;'!C41</f>
        <v>0.19678567042067485</v>
      </c>
    </row>
    <row r="44" spans="2:12" x14ac:dyDescent="0.35">
      <c r="B44" t="s">
        <v>73</v>
      </c>
      <c r="C44" s="4">
        <v>51.86</v>
      </c>
      <c r="D44" s="4">
        <v>79.569999999999993</v>
      </c>
      <c r="E44" s="4">
        <v>45.76</v>
      </c>
      <c r="F44" s="4">
        <v>0</v>
      </c>
      <c r="H44" t="s">
        <v>74</v>
      </c>
      <c r="I44" s="8">
        <f ca="1">'O&amp;G&gt;&gt;'!C42</f>
        <v>3.308204791723883E-2</v>
      </c>
      <c r="J44" s="8">
        <f ca="1">'Biotech&gt;&gt;'!C42</f>
        <v>-5.1284892516115441E-3</v>
      </c>
      <c r="K44" s="8">
        <f ca="1">'Technology&gt;&gt;'!C42</f>
        <v>2.6753705388196265E-5</v>
      </c>
      <c r="L44" s="8">
        <f ca="1">'Pharma&gt;&gt;'!C42</f>
        <v>-1.3057138697145643E-2</v>
      </c>
    </row>
    <row r="45" spans="2:12" x14ac:dyDescent="0.35">
      <c r="B45" t="s">
        <v>75</v>
      </c>
      <c r="C45" s="4">
        <v>1.36</v>
      </c>
      <c r="D45" s="4">
        <v>0.68</v>
      </c>
      <c r="E45" s="4">
        <v>0.25</v>
      </c>
      <c r="F45" s="4">
        <v>0.34</v>
      </c>
      <c r="H45" s="88" t="s">
        <v>76</v>
      </c>
      <c r="I45" s="90">
        <f ca="1">'O&amp;G&gt;&gt;'!C43</f>
        <v>0.88484017797339476</v>
      </c>
      <c r="J45" s="90">
        <f ca="1">'Biotech&gt;&gt;'!C43</f>
        <v>0.84983688993411544</v>
      </c>
      <c r="K45" s="90">
        <f ca="1">'Technology&gt;&gt;'!C43</f>
        <v>0.67574393537337385</v>
      </c>
      <c r="L45" s="90">
        <f ca="1">'Pharma&gt;&gt;'!C43</f>
        <v>0.63230036485184249</v>
      </c>
    </row>
    <row r="46" spans="2:12" x14ac:dyDescent="0.35">
      <c r="B46" t="s">
        <v>77</v>
      </c>
      <c r="C46" s="4">
        <v>20.25</v>
      </c>
      <c r="D46" s="4">
        <v>3.12</v>
      </c>
      <c r="E46" s="4">
        <v>0.33</v>
      </c>
      <c r="F46" s="4">
        <v>2.88</v>
      </c>
      <c r="H46" s="88" t="s">
        <v>78</v>
      </c>
      <c r="I46" s="90">
        <f ca="1">'O&amp;G&gt;&gt;'!C44</f>
        <v>0.1151598220266053</v>
      </c>
      <c r="J46" s="90">
        <f ca="1">'Biotech&gt;&gt;'!C44</f>
        <v>0.15016311006588451</v>
      </c>
      <c r="K46" s="90">
        <f ca="1">'Technology&gt;&gt;'!C44</f>
        <v>0.32425606462662621</v>
      </c>
      <c r="L46" s="90">
        <f ca="1">'Pharma&gt;&gt;'!C44</f>
        <v>0.36769963514815746</v>
      </c>
    </row>
    <row r="47" spans="2:12" x14ac:dyDescent="0.35">
      <c r="H47" t="s">
        <v>79</v>
      </c>
      <c r="I47" s="8">
        <f ca="1">'O&amp;G&gt;&gt;'!C45</f>
        <v>0.10237049991689537</v>
      </c>
      <c r="J47" s="8">
        <f ca="1">'Biotech&gt;&gt;'!C45</f>
        <v>3.7461328273665127E-2</v>
      </c>
      <c r="K47" s="8">
        <f ca="1">'Technology&gt;&gt;'!C45</f>
        <v>0.14946432185627334</v>
      </c>
      <c r="L47" s="8">
        <f ca="1">'Pharma&gt;&gt;'!C45</f>
        <v>6.3811195086268521E-2</v>
      </c>
    </row>
    <row r="48" spans="2:12" x14ac:dyDescent="0.35">
      <c r="H48" s="88" t="s">
        <v>80</v>
      </c>
      <c r="I48" s="90">
        <f ca="1">'O&amp;G&gt;&gt;'!C46</f>
        <v>0.21753032194350069</v>
      </c>
      <c r="J48" s="90">
        <f ca="1">'Biotech&gt;&gt;'!C46</f>
        <v>0.18762443833954964</v>
      </c>
      <c r="K48" s="90">
        <f ca="1">'Technology&gt;&gt;'!C46</f>
        <v>0.47372038648289955</v>
      </c>
      <c r="L48" s="90">
        <f ca="1">'Pharma&gt;&gt;'!C46</f>
        <v>0.43151083023442594</v>
      </c>
    </row>
    <row r="49" spans="8:12" x14ac:dyDescent="0.35">
      <c r="H49" t="s">
        <v>81</v>
      </c>
      <c r="I49" s="8">
        <f ca="1">'O&amp;G&gt;&gt;'!C47</f>
        <v>5.2725984084712775E-3</v>
      </c>
      <c r="J49" s="8">
        <f ca="1">'Biotech&gt;&gt;'!C47</f>
        <v>6.102537155406154E-3</v>
      </c>
      <c r="K49" s="8">
        <f ca="1">'Technology&gt;&gt;'!C47</f>
        <v>8.5252794070480777E-3</v>
      </c>
      <c r="L49" s="8">
        <f ca="1">'Pharma&gt;&gt;'!C47</f>
        <v>1.1073026054530689E-2</v>
      </c>
    </row>
    <row r="50" spans="8:12" x14ac:dyDescent="0.35">
      <c r="H50" t="s">
        <v>82</v>
      </c>
      <c r="I50" s="8">
        <f ca="1">'O&amp;G&gt;&gt;'!C48</f>
        <v>8.8828075984070665E-3</v>
      </c>
      <c r="J50" s="8">
        <f ca="1">'Biotech&gt;&gt;'!C48</f>
        <v>-1.5519740568885542E-2</v>
      </c>
      <c r="K50" s="8">
        <f ca="1">'Technology&gt;&gt;'!C48</f>
        <v>6.1192931640589015E-3</v>
      </c>
      <c r="L50" s="8">
        <f ca="1">'Pharma&gt;&gt;'!C48</f>
        <v>-2.1467770868693292E-2</v>
      </c>
    </row>
    <row r="51" spans="8:12" x14ac:dyDescent="0.35">
      <c r="H51" s="88" t="s">
        <v>83</v>
      </c>
      <c r="I51" s="90">
        <f ca="1">'O&amp;G&gt;&gt;'!C49</f>
        <v>0.11877003121654109</v>
      </c>
      <c r="J51" s="90">
        <f ca="1">'Biotech&gt;&gt;'!C49</f>
        <v>0.1285408323415928</v>
      </c>
      <c r="K51" s="90">
        <f ca="1">'Technology&gt;&gt;'!C49</f>
        <v>0.32185007838363699</v>
      </c>
      <c r="L51" s="90">
        <f ca="1">'Pharma&gt;&gt;'!C49</f>
        <v>0.33515883822493353</v>
      </c>
    </row>
    <row r="52" spans="8:12" x14ac:dyDescent="0.35">
      <c r="H52" t="s">
        <v>84</v>
      </c>
      <c r="I52" s="8">
        <f ca="1">'O&amp;G&gt;&gt;'!C50</f>
        <v>4.1898077884459921E-2</v>
      </c>
      <c r="J52" s="8">
        <f ca="1">'Biotech&gt;&gt;'!C50</f>
        <v>9.8336250277401421E-3</v>
      </c>
      <c r="K52" s="8">
        <f ca="1">'Technology&gt;&gt;'!C50</f>
        <v>3.4559032133010543E-2</v>
      </c>
      <c r="L52" s="8">
        <f ca="1">'Pharma&gt;&gt;'!C50</f>
        <v>5.5887626303850746E-2</v>
      </c>
    </row>
    <row r="53" spans="8:12" x14ac:dyDescent="0.35">
      <c r="H53" t="s">
        <v>82</v>
      </c>
      <c r="I53" s="8">
        <f ca="1">'O&amp;G&gt;&gt;'!C51</f>
        <v>1.0036026650216297E-3</v>
      </c>
      <c r="J53" s="8">
        <f ca="1">'Biotech&gt;&gt;'!C51</f>
        <v>3.2188841201716739E-4</v>
      </c>
      <c r="K53" s="8">
        <f ca="1">'Technology&gt;&gt;'!C51</f>
        <v>-1.3257235998053987E-3</v>
      </c>
      <c r="L53" s="8">
        <f ca="1">'Pharma&gt;&gt;'!C51</f>
        <v>-6.4235325704736085E-3</v>
      </c>
    </row>
    <row r="54" spans="8:12" x14ac:dyDescent="0.35">
      <c r="H54" s="88" t="s">
        <v>85</v>
      </c>
      <c r="I54" s="90">
        <f ca="1">'O&amp;G&gt;&gt;'!C52</f>
        <v>7.7875555997102788E-2</v>
      </c>
      <c r="J54" s="90">
        <f ca="1">'Biotech&gt;&gt;'!C52</f>
        <v>0.11902909572586984</v>
      </c>
      <c r="K54" s="90">
        <f ca="1">'Technology&gt;&gt;'!C52</f>
        <v>0.28596532265082114</v>
      </c>
      <c r="L54" s="90">
        <f ca="1">'Pharma&gt;&gt;'!C52</f>
        <v>0.27284767935060916</v>
      </c>
    </row>
    <row r="55" spans="8:12" x14ac:dyDescent="0.35">
      <c r="I55" s="8"/>
    </row>
    <row r="56" spans="8:12" x14ac:dyDescent="0.35">
      <c r="H56" s="88"/>
    </row>
    <row r="57" spans="8:12" ht="12" customHeight="1" x14ac:dyDescent="0.35">
      <c r="H57" s="126" t="s">
        <v>759</v>
      </c>
      <c r="I57" s="139"/>
      <c r="J57" s="139"/>
      <c r="K57" s="139"/>
      <c r="L57" s="139"/>
    </row>
    <row r="58" spans="8:12" x14ac:dyDescent="0.35">
      <c r="H58" t="s">
        <v>760</v>
      </c>
      <c r="I58" s="141">
        <f ca="1">'O&amp;G&gt;&gt;'!C56</f>
        <v>1.3124775917193561</v>
      </c>
      <c r="J58" s="141">
        <f ca="1">'Biotech&gt;&gt;'!C56</f>
        <v>2.619848601391999</v>
      </c>
      <c r="K58" s="141">
        <f ca="1">'Technology&gt;&gt;'!C56</f>
        <v>2.6700583465426044</v>
      </c>
      <c r="L58" s="141">
        <f ca="1">'Pharma&gt;&gt;'!C56</f>
        <v>1.381530221888249</v>
      </c>
    </row>
    <row r="59" spans="8:12" x14ac:dyDescent="0.35">
      <c r="H59" t="s">
        <v>761</v>
      </c>
      <c r="I59" s="141">
        <f ca="1">'O&amp;G&gt;&gt;'!C57</f>
        <v>0.7458881023423507</v>
      </c>
      <c r="J59" s="141">
        <f ca="1">'Biotech&gt;&gt;'!C57</f>
        <v>2.1949024312075496</v>
      </c>
      <c r="K59" s="141">
        <f ca="1">'Technology&gt;&gt;'!C57</f>
        <v>1.9409769775035981</v>
      </c>
      <c r="L59" s="141">
        <f ca="1">'Pharma&gt;&gt;'!C57</f>
        <v>0.8229429670516849</v>
      </c>
    </row>
    <row r="60" spans="8:12" x14ac:dyDescent="0.35">
      <c r="H60" t="s">
        <v>762</v>
      </c>
      <c r="I60" s="142">
        <f ca="1">'O&amp;G&gt;&gt;'!C58</f>
        <v>7219.5</v>
      </c>
      <c r="J60" s="142">
        <f ca="1">'Biotech&gt;&gt;'!C58</f>
        <v>2050.0425</v>
      </c>
      <c r="K60" s="142">
        <f ca="1">'Technology&gt;&gt;'!C58</f>
        <v>31159.5</v>
      </c>
      <c r="L60" s="142">
        <f ca="1">'Pharma&gt;&gt;'!C58</f>
        <v>12657.082499999999</v>
      </c>
    </row>
    <row r="61" spans="8:12" ht="12" customHeight="1" x14ac:dyDescent="0.35">
      <c r="H61" s="126" t="s">
        <v>763</v>
      </c>
      <c r="I61" s="140"/>
      <c r="J61" s="140"/>
      <c r="K61" s="140"/>
      <c r="L61" s="140"/>
    </row>
    <row r="62" spans="8:12" x14ac:dyDescent="0.35">
      <c r="H62" t="s">
        <v>764</v>
      </c>
      <c r="I62" s="141">
        <f ca="1">'O&amp;G&gt;&gt;'!C60</f>
        <v>15.482208022490235</v>
      </c>
      <c r="J62" s="141">
        <f ca="1">'Biotech&gt;&gt;'!C60</f>
        <v>0.5588364155012403</v>
      </c>
      <c r="K62" s="141">
        <f ca="1">'Technology&gt;&gt;'!C60</f>
        <v>5.23676487963042</v>
      </c>
      <c r="L62" s="141">
        <f ca="1">'Pharma&gt;&gt;'!C60</f>
        <v>1.9519453762635401</v>
      </c>
    </row>
    <row r="63" spans="8:12" x14ac:dyDescent="0.35">
      <c r="H63" t="s">
        <v>765</v>
      </c>
      <c r="I63" s="141">
        <f ca="1">'O&amp;G&gt;&gt;'!C61</f>
        <v>1.6353309846142599</v>
      </c>
      <c r="J63" s="141">
        <f ca="1">'Biotech&gt;&gt;'!C61</f>
        <v>31.14183752120595</v>
      </c>
      <c r="K63" s="141">
        <f ca="1">'Technology&gt;&gt;'!C61</f>
        <v>8.5126144589221937</v>
      </c>
      <c r="L63" s="141">
        <f ca="1">'Pharma&gt;&gt;'!C61</f>
        <v>2.8380022568941206</v>
      </c>
    </row>
    <row r="64" spans="8:12" x14ac:dyDescent="0.35">
      <c r="H64" t="s">
        <v>766</v>
      </c>
      <c r="I64" s="141">
        <f ca="1">'O&amp;G&gt;&gt;'!C62</f>
        <v>0.94346790847094353</v>
      </c>
      <c r="J64" s="141">
        <f ca="1">'Biotech&gt;&gt;'!C62</f>
        <v>0.54561339599605096</v>
      </c>
      <c r="K64" s="141">
        <f ca="1">'Technology&gt;&gt;'!C62</f>
        <v>0.56103517314838691</v>
      </c>
      <c r="L64" s="141">
        <f ca="1">'Pharma&gt;&gt;'!C62</f>
        <v>0.52790559680005467</v>
      </c>
    </row>
    <row r="65" spans="8:12" x14ac:dyDescent="0.35">
      <c r="H65" t="s">
        <v>767</v>
      </c>
      <c r="I65" s="143">
        <f ca="1">'O&amp;G&gt;&gt;'!C63</f>
        <v>30.351684452293885</v>
      </c>
      <c r="J65" s="143">
        <f ca="1">'Biotech&gt;&gt;'!C63</f>
        <v>82.849006911236131</v>
      </c>
      <c r="K65" s="143">
        <f ca="1">'Technology&gt;&gt;'!C63</f>
        <v>50.448261636965029</v>
      </c>
      <c r="L65" s="143">
        <f ca="1">'Pharma&gt;&gt;'!C63</f>
        <v>75.707034704958446</v>
      </c>
    </row>
    <row r="66" spans="8:12" x14ac:dyDescent="0.35">
      <c r="H66" t="s">
        <v>768</v>
      </c>
      <c r="I66" s="143">
        <f ca="1">'O&amp;G&gt;&gt;'!C64</f>
        <v>26.666694435722302</v>
      </c>
      <c r="J66" s="143">
        <f ca="1">'Biotech&gt;&gt;'!C64</f>
        <v>178.89680862390657</v>
      </c>
      <c r="K66" s="143">
        <f ca="1">'Technology&gt;&gt;'!C64</f>
        <v>101.99253796450313</v>
      </c>
      <c r="L66" s="143">
        <f ca="1">'Pharma&gt;&gt;'!C64</f>
        <v>241.66918347704109</v>
      </c>
    </row>
    <row r="67" spans="8:12" x14ac:dyDescent="0.35">
      <c r="H67" t="s">
        <v>769</v>
      </c>
      <c r="I67" s="143">
        <f ca="1">'O&amp;G&gt;&gt;'!C65</f>
        <v>48.181354593932298</v>
      </c>
      <c r="J67" s="143">
        <f ca="1">'Biotech&gt;&gt;'!C65</f>
        <v>186.2451244927245</v>
      </c>
      <c r="K67" s="143">
        <f ca="1">'Technology&gt;&gt;'!C65</f>
        <v>64.056150675772386</v>
      </c>
      <c r="L67" s="143">
        <f ca="1">'Pharma&gt;&gt;'!C65</f>
        <v>132.86021312299883</v>
      </c>
    </row>
    <row r="68" spans="8:12" x14ac:dyDescent="0.35">
      <c r="H68" t="s">
        <v>770</v>
      </c>
      <c r="I68" s="143">
        <f ca="1">'O&amp;G&gt;&gt;'!C66</f>
        <v>57.018378888016187</v>
      </c>
      <c r="J68" s="143">
        <f ca="1">'Biotech&gt;&gt;'!C66</f>
        <v>261.74581553514264</v>
      </c>
      <c r="K68" s="143">
        <f ca="1">'Technology&gt;&gt;'!C66</f>
        <v>152.44079960146814</v>
      </c>
      <c r="L68" s="143">
        <f ca="1">'Pharma&gt;&gt;'!C66</f>
        <v>317.37621818199955</v>
      </c>
    </row>
    <row r="69" spans="8:12" x14ac:dyDescent="0.35">
      <c r="H69" t="s">
        <v>771</v>
      </c>
      <c r="I69" s="143">
        <f ca="1">'O&amp;G&gt;&gt;'!C67</f>
        <v>8.8370242940838786</v>
      </c>
      <c r="J69" s="143">
        <f ca="1">'Biotech&gt;&gt;'!C67</f>
        <v>75.50069104241814</v>
      </c>
      <c r="K69" s="143">
        <f ca="1">'Technology&gt;&gt;'!C67</f>
        <v>88.384648925695757</v>
      </c>
      <c r="L69" s="143">
        <f ca="1">'Pharma&gt;&gt;'!C67</f>
        <v>184.51600505900075</v>
      </c>
    </row>
    <row r="70" spans="8:12" ht="12" customHeight="1" x14ac:dyDescent="0.35">
      <c r="H70" s="126" t="s">
        <v>772</v>
      </c>
      <c r="I70" s="126"/>
      <c r="J70" s="126"/>
      <c r="K70" s="126"/>
      <c r="L70" s="126"/>
    </row>
    <row r="71" spans="8:12" x14ac:dyDescent="0.35">
      <c r="H71" t="s">
        <v>773</v>
      </c>
      <c r="I71" s="144">
        <f ca="1">'O&amp;G&gt;&gt;'!C69</f>
        <v>0.45634741872886392</v>
      </c>
      <c r="J71" s="144">
        <f ca="1">'Biotech&gt;&gt;'!C69</f>
        <v>0.45849560952607576</v>
      </c>
      <c r="K71" s="144">
        <f ca="1">'Technology&gt;&gt;'!C69</f>
        <v>0.39055621691306053</v>
      </c>
      <c r="L71" s="144">
        <f ca="1">'Pharma&gt;&gt;'!C69</f>
        <v>0.648454985772001</v>
      </c>
    </row>
    <row r="72" spans="8:12" x14ac:dyDescent="0.35">
      <c r="H72" t="s">
        <v>774</v>
      </c>
      <c r="I72" s="141">
        <f ca="1">'O&amp;G&gt;&gt;'!C70</f>
        <v>28.336329425814043</v>
      </c>
      <c r="J72" s="141">
        <f ca="1">'Biotech&gt;&gt;'!C70</f>
        <v>-8.602914489733271</v>
      </c>
      <c r="K72" s="141">
        <f ca="1">'Technology&gt;&gt;'!C70</f>
        <v>-140.83219207520295</v>
      </c>
      <c r="L72" s="141">
        <f ca="1">'Pharma&gt;&gt;'!C70</f>
        <v>-59.979177780288595</v>
      </c>
    </row>
    <row r="73" spans="8:12" ht="12" customHeight="1" x14ac:dyDescent="0.35">
      <c r="H73" s="126" t="s">
        <v>775</v>
      </c>
      <c r="I73" s="126"/>
      <c r="J73" s="126"/>
      <c r="K73" s="126"/>
      <c r="L73" s="126"/>
    </row>
    <row r="74" spans="8:12" x14ac:dyDescent="0.35">
      <c r="H74" t="s">
        <v>776</v>
      </c>
      <c r="I74" s="144">
        <f ca="1">'O&amp;G&gt;&gt;'!C72</f>
        <v>7.7875555997102788E-2</v>
      </c>
      <c r="J74" s="144">
        <f ca="1">'Biotech&gt;&gt;'!C72</f>
        <v>0.11902909572586984</v>
      </c>
      <c r="K74" s="144">
        <f ca="1">'Technology&gt;&gt;'!C72</f>
        <v>0.28596532265082114</v>
      </c>
      <c r="L74" s="144">
        <f ca="1">'Pharma&gt;&gt;'!C72</f>
        <v>0.27284767935060916</v>
      </c>
    </row>
    <row r="75" spans="8:12" x14ac:dyDescent="0.35">
      <c r="H75" t="s">
        <v>777</v>
      </c>
      <c r="I75" s="144">
        <f ca="1">'O&amp;G&gt;&gt;'!C73</f>
        <v>0.1151598220266053</v>
      </c>
      <c r="J75" s="144">
        <f ca="1">'Biotech&gt;&gt;'!C73</f>
        <v>0.15016311006588451</v>
      </c>
      <c r="K75" s="144">
        <f ca="1">'Technology&gt;&gt;'!C73</f>
        <v>0.32425606462662621</v>
      </c>
      <c r="L75" s="144">
        <f ca="1">'Pharma&gt;&gt;'!C73</f>
        <v>0.36769963514815746</v>
      </c>
    </row>
    <row r="76" spans="8:12" x14ac:dyDescent="0.35">
      <c r="H76" t="s">
        <v>778</v>
      </c>
      <c r="I76" s="144">
        <f ca="1">'O&amp;G&gt;&gt;'!C74</f>
        <v>5.2050291707860234E-2</v>
      </c>
      <c r="J76" s="144">
        <f ca="1">'Biotech&gt;&gt;'!C74</f>
        <v>6.0840225553685887E-2</v>
      </c>
      <c r="K76" s="144">
        <f ca="1">'Technology&gt;&gt;'!C74</f>
        <v>0.2225188657785597</v>
      </c>
      <c r="L76" s="144">
        <f ca="1">'Pharma&gt;&gt;'!C74</f>
        <v>0.14344179665293069</v>
      </c>
    </row>
    <row r="77" spans="8:12" x14ac:dyDescent="0.35">
      <c r="H77" t="s">
        <v>63</v>
      </c>
      <c r="I77" s="144">
        <f ca="1">'O&amp;G&gt;&gt;'!C75</f>
        <v>9.6076034696836177E-2</v>
      </c>
      <c r="J77" s="144">
        <f ca="1">'Biotech&gt;&gt;'!C75</f>
        <v>0.11796637823431619</v>
      </c>
      <c r="K77" s="144">
        <f ca="1">'Technology&gt;&gt;'!C75</f>
        <v>0.33968609024112073</v>
      </c>
      <c r="L77" s="144">
        <f ca="1">'Pharma&gt;&gt;'!C75</f>
        <v>0.44460153844438494</v>
      </c>
    </row>
    <row r="78" spans="8:12" x14ac:dyDescent="0.35">
      <c r="H78" t="s">
        <v>779</v>
      </c>
      <c r="I78" s="144">
        <f ca="1">'O&amp;G&gt;&gt;'!C76</f>
        <v>7.7132119525066253E-2</v>
      </c>
      <c r="J78" s="144">
        <f ca="1">'Biotech&gt;&gt;'!C76</f>
        <v>8.7902452353205471E-2</v>
      </c>
      <c r="K78" s="144">
        <f ca="1">'Technology&gt;&gt;'!C76</f>
        <v>0.27831606768555039</v>
      </c>
      <c r="L78" s="144">
        <f ca="1">'Pharma&gt;&gt;'!C76</f>
        <v>0.24195464225500682</v>
      </c>
    </row>
    <row r="79" spans="8:12" x14ac:dyDescent="0.35">
      <c r="H79" t="s">
        <v>780</v>
      </c>
      <c r="I79" s="144">
        <f ca="1">'O&amp;G&gt;&gt;'!C77</f>
        <v>6.7278452266502836E-2</v>
      </c>
      <c r="J79" s="144">
        <f ca="1">'Biotech&gt;&gt;'!C77</f>
        <v>0.154301286754084</v>
      </c>
      <c r="K79" s="144">
        <f ca="1">'Technology&gt;&gt;'!C77</f>
        <v>0.29196229984530375</v>
      </c>
      <c r="L79" s="144">
        <f ca="1">'Pharma&gt;&gt;'!C77</f>
        <v>0.24662916625284481</v>
      </c>
    </row>
    <row r="80" spans="8:12" x14ac:dyDescent="0.35">
      <c r="H80" t="s">
        <v>781</v>
      </c>
      <c r="I80" s="144">
        <f ca="1">'O&amp;G&gt;&gt;'!C78</f>
        <v>6.3296274438616545E-2</v>
      </c>
      <c r="J80" s="144">
        <f ca="1">'Biotech&gt;&gt;'!C78</f>
        <v>8.8143292350719674E-2</v>
      </c>
      <c r="K80" s="144">
        <f ca="1">'Technology&gt;&gt;'!C78</f>
        <v>0.2629334240292811</v>
      </c>
      <c r="L80" s="144">
        <f ca="1">'Pharma&gt;&gt;'!C78</f>
        <v>0.22351693343255552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78"/>
  <sheetViews>
    <sheetView topLeftCell="B2" zoomScale="66" workbookViewId="0">
      <selection activeCell="I11" sqref="I6:I11"/>
    </sheetView>
  </sheetViews>
  <sheetFormatPr defaultRowHeight="14.5" x14ac:dyDescent="0.35"/>
  <cols>
    <col min="2" max="2" width="46" customWidth="1"/>
    <col min="3" max="7" width="20.6328125" customWidth="1"/>
    <col min="11" max="11" width="46" customWidth="1"/>
    <col min="12" max="15" width="20.6328125" customWidth="1"/>
    <col min="17" max="17" width="45.6328125" customWidth="1"/>
    <col min="18" max="20" width="20.6328125" customWidth="1"/>
  </cols>
  <sheetData>
    <row r="2" spans="2:20" x14ac:dyDescent="0.35">
      <c r="C2" s="68" t="s">
        <v>86</v>
      </c>
      <c r="D2" s="68" t="str">
        <f>L2</f>
        <v>Conoco</v>
      </c>
      <c r="E2" s="68" t="str">
        <f t="shared" ref="E2:F2" si="0">M2</f>
        <v>Chevron</v>
      </c>
      <c r="F2" s="68" t="str">
        <f t="shared" si="0"/>
        <v>Exxon</v>
      </c>
      <c r="G2" s="68" t="str">
        <f>O2</f>
        <v>Valero</v>
      </c>
      <c r="L2" s="65" t="s">
        <v>87</v>
      </c>
      <c r="M2" s="65" t="s">
        <v>88</v>
      </c>
      <c r="N2" s="65" t="s">
        <v>89</v>
      </c>
      <c r="O2" s="65" t="s">
        <v>90</v>
      </c>
      <c r="R2" s="65" t="s">
        <v>91</v>
      </c>
      <c r="S2" s="65" t="s">
        <v>91</v>
      </c>
      <c r="T2" s="65" t="s">
        <v>91</v>
      </c>
    </row>
    <row r="3" spans="2:20" x14ac:dyDescent="0.35">
      <c r="K3" s="60"/>
      <c r="L3" s="60"/>
      <c r="M3" s="60"/>
      <c r="N3" s="60"/>
      <c r="O3" s="60"/>
      <c r="Q3" s="60"/>
      <c r="R3" s="60"/>
      <c r="S3" s="60"/>
      <c r="T3" s="60"/>
    </row>
    <row r="4" spans="2:20" x14ac:dyDescent="0.35">
      <c r="B4" s="74" t="s">
        <v>8</v>
      </c>
      <c r="C4" s="86" t="s">
        <v>92</v>
      </c>
      <c r="D4" s="68" t="s">
        <v>92</v>
      </c>
      <c r="E4" s="68" t="s">
        <v>92</v>
      </c>
      <c r="F4" s="68" t="s">
        <v>92</v>
      </c>
      <c r="G4" s="68" t="s">
        <v>92</v>
      </c>
      <c r="K4" s="74" t="s">
        <v>8</v>
      </c>
      <c r="L4" s="87">
        <v>2025</v>
      </c>
      <c r="M4" s="87">
        <v>2025</v>
      </c>
      <c r="N4" s="87">
        <v>2025</v>
      </c>
      <c r="O4" s="87">
        <v>2025</v>
      </c>
      <c r="Q4" s="74" t="s">
        <v>8</v>
      </c>
      <c r="R4" s="87">
        <v>2024</v>
      </c>
      <c r="S4" s="87">
        <v>2024</v>
      </c>
      <c r="T4" s="87">
        <v>2024</v>
      </c>
    </row>
    <row r="5" spans="2:20" x14ac:dyDescent="0.35">
      <c r="B5" s="75"/>
      <c r="C5" s="75"/>
      <c r="D5" s="69"/>
      <c r="E5" s="69"/>
      <c r="F5" s="69"/>
      <c r="G5" s="69"/>
      <c r="K5" s="75"/>
      <c r="L5" s="69"/>
      <c r="M5" s="69"/>
      <c r="N5" s="69"/>
      <c r="O5" s="69"/>
      <c r="Q5" s="75"/>
      <c r="R5" s="69"/>
      <c r="S5" s="69"/>
      <c r="T5" s="69"/>
    </row>
    <row r="6" spans="2:20" x14ac:dyDescent="0.35">
      <c r="B6" s="76" t="s">
        <v>12</v>
      </c>
      <c r="C6" s="82">
        <f ca="1">IFERROR(AVERAGE(D6:G6),0)</f>
        <v>4.4334162472003613E-2</v>
      </c>
      <c r="D6" s="82">
        <f ca="1">IFERROR(L6/L$18,0)</f>
        <v>5.3280738730020746E-2</v>
      </c>
      <c r="E6" s="82">
        <f ca="1">IFERROR(M6/M$18,0)</f>
        <v>1.9422120168388825E-2</v>
      </c>
      <c r="F6" s="82">
        <f ca="1">IFERROR(N6/N$18,0)</f>
        <v>2.3789478373201479E-2</v>
      </c>
      <c r="G6" s="82">
        <f ca="1">IFERROR(O6/O$18,0)</f>
        <v>8.0844312616403388E-2</v>
      </c>
      <c r="I6" s="4"/>
      <c r="K6" s="76" t="s">
        <v>12</v>
      </c>
      <c r="L6" s="70">
        <f ca="1">SUMIF(INDIRECT("'"&amp;L$2&amp;"'!$A$1:$A$500"),$K6,INDIRECT("'"&amp;L$2&amp;"'!$C$1:$C$500"))</f>
        <v>6497</v>
      </c>
      <c r="M6" s="70">
        <f t="shared" ref="M6:O9" ca="1" si="1">SUMIF(INDIRECT("'"&amp;M$2&amp;"'!$A$1:$A$500"),$K6,INDIRECT("'"&amp;M$2&amp;"'!$C$1:$C$500"))</f>
        <v>6293</v>
      </c>
      <c r="N6" s="70">
        <f t="shared" ca="1" si="1"/>
        <v>10681</v>
      </c>
      <c r="O6" s="70">
        <f t="shared" ca="1" si="1"/>
        <v>4688</v>
      </c>
      <c r="Q6" s="76" t="s">
        <v>12</v>
      </c>
      <c r="R6" s="70">
        <f ca="1">SUMIF(INDIRECT("'"&amp;R$2&amp;"'!$A$1:$A$400"),$K6,INDIRECT("'"&amp;R$2&amp;"'!$b$1:$b$400"))</f>
        <v>538.79</v>
      </c>
      <c r="S6" s="70">
        <f t="shared" ref="S6:T6" ca="1" si="2">SUMIF(INDIRECT("'"&amp;S$2&amp;"'!$A$1:$A$400"),$K6,INDIRECT("'"&amp;S$2&amp;"'!$b$1:$b$400"))</f>
        <v>538.79</v>
      </c>
      <c r="T6" s="70">
        <f t="shared" ca="1" si="2"/>
        <v>538.79</v>
      </c>
    </row>
    <row r="7" spans="2:20" x14ac:dyDescent="0.35">
      <c r="B7" s="76" t="s">
        <v>14</v>
      </c>
      <c r="C7" s="82">
        <f t="shared" ref="C6:C11" ca="1" si="3">IFERROR(AVERAGE(D7:G7),0)</f>
        <v>9.9538573384820323E-4</v>
      </c>
      <c r="D7" s="82">
        <f ca="1">IFERROR(L7/L$18,0)</f>
        <v>3.9691977136109037E-3</v>
      </c>
      <c r="E7" s="82">
        <f t="shared" ref="E7:E11" ca="1" si="4">IFERROR(M7/M$18,0)</f>
        <v>1.2345221781909311E-5</v>
      </c>
      <c r="F7" s="82">
        <f t="shared" ref="F7:G11" ca="1" si="5">IFERROR(N7/N$18,0)</f>
        <v>0</v>
      </c>
      <c r="G7" s="82">
        <f t="shared" ca="1" si="5"/>
        <v>0</v>
      </c>
      <c r="I7" s="4"/>
      <c r="K7" s="76" t="s">
        <v>14</v>
      </c>
      <c r="L7" s="70">
        <f ca="1">SUMIF(INDIRECT("'"&amp;L$2&amp;"'!$A$1:$A$500"),$K7,INDIRECT("'"&amp;L$2&amp;"'!$C$1:$C$500"))</f>
        <v>484</v>
      </c>
      <c r="M7" s="70">
        <f t="shared" ca="1" si="1"/>
        <v>4</v>
      </c>
      <c r="N7" s="70">
        <f t="shared" ca="1" si="1"/>
        <v>0</v>
      </c>
      <c r="O7" s="70">
        <f t="shared" ca="1" si="1"/>
        <v>0</v>
      </c>
      <c r="Q7" s="76" t="s">
        <v>14</v>
      </c>
      <c r="R7" s="70">
        <f t="shared" ref="R7:T33" ca="1" si="6">SUMIF(INDIRECT("'"&amp;R$2&amp;"'!$A$1:$A$400"),$K7,INDIRECT("'"&amp;R$2&amp;"'!$b$1:$b$400"))</f>
        <v>0</v>
      </c>
      <c r="S7" s="70">
        <f t="shared" ca="1" si="6"/>
        <v>0</v>
      </c>
      <c r="T7" s="70">
        <f t="shared" ca="1" si="6"/>
        <v>0</v>
      </c>
    </row>
    <row r="8" spans="2:20" x14ac:dyDescent="0.35">
      <c r="B8" s="76" t="s">
        <v>16</v>
      </c>
      <c r="C8" s="82">
        <f t="shared" ca="1" si="3"/>
        <v>5.8588596162956232E-2</v>
      </c>
      <c r="D8" s="82">
        <f ca="1">IFERROR(L8/L$18,0)</f>
        <v>4.7671376671942531E-2</v>
      </c>
      <c r="E8" s="82">
        <f t="shared" ca="1" si="4"/>
        <v>5.5784970927002707E-2</v>
      </c>
      <c r="F8" s="82">
        <f t="shared" ca="1" si="5"/>
        <v>7.961156398948728E-2</v>
      </c>
      <c r="G8" s="82">
        <f t="shared" ca="1" si="5"/>
        <v>5.1286473063392429E-2</v>
      </c>
      <c r="I8" s="4"/>
      <c r="K8" s="76" t="s">
        <v>16</v>
      </c>
      <c r="L8" s="70">
        <f ca="1">SUMIF(INDIRECT("'"&amp;L$2&amp;"'!$A$1:$A$500"),$K8,INDIRECT("'"&amp;L$2&amp;"'!$C$1:$C$500"))</f>
        <v>5813</v>
      </c>
      <c r="M8" s="70">
        <f t="shared" ca="1" si="1"/>
        <v>18075</v>
      </c>
      <c r="N8" s="70">
        <f t="shared" ca="1" si="1"/>
        <v>35744</v>
      </c>
      <c r="O8" s="70">
        <f t="shared" ca="1" si="1"/>
        <v>2974</v>
      </c>
      <c r="Q8" s="76" t="s">
        <v>16</v>
      </c>
      <c r="R8" s="70">
        <f t="shared" ca="1" si="6"/>
        <v>1392.76</v>
      </c>
      <c r="S8" s="70">
        <f t="shared" ca="1" si="6"/>
        <v>1392.76</v>
      </c>
      <c r="T8" s="70">
        <f t="shared" ca="1" si="6"/>
        <v>1392.76</v>
      </c>
    </row>
    <row r="9" spans="2:20" x14ac:dyDescent="0.35">
      <c r="B9" s="76" t="s">
        <v>18</v>
      </c>
      <c r="C9" s="82">
        <f t="shared" ca="1" si="3"/>
        <v>5.8704829927514947E-2</v>
      </c>
      <c r="D9" s="82">
        <f ca="1">IFERROR(L9/L$18,0)</f>
        <v>1.5360139085936411E-2</v>
      </c>
      <c r="E9" s="82">
        <f t="shared" ca="1" si="4"/>
        <v>2.9971112181030331E-2</v>
      </c>
      <c r="F9" s="82">
        <f t="shared" ca="1" si="5"/>
        <v>5.8581674016659986E-2</v>
      </c>
      <c r="G9" s="82">
        <f t="shared" ca="1" si="5"/>
        <v>0.13090639442643306</v>
      </c>
      <c r="I9" s="4"/>
      <c r="K9" s="76" t="s">
        <v>18</v>
      </c>
      <c r="L9" s="70">
        <f ca="1">SUMIF(INDIRECT("'"&amp;L$2&amp;"'!$A$1:$A$500"),$K9,INDIRECT("'"&amp;L$2&amp;"'!$C$1:$C$500"))</f>
        <v>1873</v>
      </c>
      <c r="M9" s="70">
        <f t="shared" ca="1" si="1"/>
        <v>9711</v>
      </c>
      <c r="N9" s="70">
        <f t="shared" ca="1" si="1"/>
        <v>26302</v>
      </c>
      <c r="O9" s="70">
        <f t="shared" ca="1" si="1"/>
        <v>7591</v>
      </c>
      <c r="Q9" s="76" t="s">
        <v>18</v>
      </c>
      <c r="R9" s="70">
        <f t="shared" ca="1" si="6"/>
        <v>0</v>
      </c>
      <c r="S9" s="70">
        <f t="shared" ca="1" si="6"/>
        <v>0</v>
      </c>
      <c r="T9" s="70">
        <f t="shared" ca="1" si="6"/>
        <v>0</v>
      </c>
    </row>
    <row r="10" spans="2:20" x14ac:dyDescent="0.35">
      <c r="B10" s="76" t="s">
        <v>20</v>
      </c>
      <c r="C10" s="82">
        <f t="shared" ca="1" si="3"/>
        <v>4.5459006068344562E-2</v>
      </c>
      <c r="D10" s="82">
        <f ca="1">IFERROR(L10/L$18,0)</f>
        <v>7.0937107898211404E-3</v>
      </c>
      <c r="E10" s="82">
        <f t="shared" ca="1" si="4"/>
        <v>1.3792699035838178E-2</v>
      </c>
      <c r="F10" s="82">
        <f t="shared" ca="1" si="5"/>
        <v>2.3731569334936968E-2</v>
      </c>
      <c r="G10" s="82">
        <f t="shared" ca="1" si="5"/>
        <v>0.13721804511278196</v>
      </c>
      <c r="I10" s="4"/>
      <c r="K10" s="76" t="s">
        <v>20</v>
      </c>
      <c r="L10" s="78">
        <f ca="1">SUMIF(INDIRECT("'"&amp;L$2&amp;"'!$A$1:$A$500"),$K11,INDIRECT("'"&amp;L$2&amp;"'!$C$1:$C$500"))-SUM(L6:L9)</f>
        <v>865</v>
      </c>
      <c r="M10" s="78">
        <f t="shared" ref="M10:O10" ca="1" si="7">SUMIF(INDIRECT("'"&amp;M$2&amp;"'!$A$1:$A$500"),$K11,INDIRECT("'"&amp;M$2&amp;"'!$C$1:$C$500"))-SUM(M6:M9)</f>
        <v>4469</v>
      </c>
      <c r="N10" s="78">
        <f t="shared" ca="1" si="7"/>
        <v>10655</v>
      </c>
      <c r="O10" s="78">
        <f t="shared" ca="1" si="7"/>
        <v>7957</v>
      </c>
      <c r="Q10" s="76" t="s">
        <v>20</v>
      </c>
      <c r="R10" s="78">
        <f ca="1">R11-R6-R7-R8-R9</f>
        <v>1343.6200000000001</v>
      </c>
      <c r="S10" s="78">
        <f t="shared" ref="S10:T10" ca="1" si="8">S11-S6-S7-S8-S9</f>
        <v>1343.6200000000001</v>
      </c>
      <c r="T10" s="78">
        <f t="shared" ca="1" si="8"/>
        <v>1343.6200000000001</v>
      </c>
    </row>
    <row r="11" spans="2:20" x14ac:dyDescent="0.35">
      <c r="B11" s="77" t="s">
        <v>22</v>
      </c>
      <c r="C11" s="81">
        <f t="shared" ca="1" si="3"/>
        <v>0.20808198036466757</v>
      </c>
      <c r="D11" s="81">
        <f ca="1">IFERROR(L11/L$18,0)</f>
        <v>0.12737516299133173</v>
      </c>
      <c r="E11" s="81">
        <f t="shared" ca="1" si="4"/>
        <v>0.11898324753404195</v>
      </c>
      <c r="F11" s="81">
        <f t="shared" ca="1" si="5"/>
        <v>0.18571428571428572</v>
      </c>
      <c r="G11" s="81">
        <f t="shared" ca="1" si="5"/>
        <v>0.40025522521901086</v>
      </c>
      <c r="I11" s="5"/>
      <c r="K11" s="77" t="s">
        <v>22</v>
      </c>
      <c r="L11" s="73">
        <f ca="1">SUM(L6:L10)</f>
        <v>15532</v>
      </c>
      <c r="M11" s="73">
        <f t="shared" ref="M11:O11" ca="1" si="9">SUM(M6:M10)</f>
        <v>38552</v>
      </c>
      <c r="N11" s="73">
        <f t="shared" ca="1" si="9"/>
        <v>83382</v>
      </c>
      <c r="O11" s="73">
        <f t="shared" ca="1" si="9"/>
        <v>23210</v>
      </c>
      <c r="Q11" s="77" t="s">
        <v>22</v>
      </c>
      <c r="R11" s="72">
        <f t="shared" ca="1" si="6"/>
        <v>3275.17</v>
      </c>
      <c r="S11" s="72">
        <f t="shared" ca="1" si="6"/>
        <v>3275.17</v>
      </c>
      <c r="T11" s="72">
        <f t="shared" ca="1" si="6"/>
        <v>3275.17</v>
      </c>
    </row>
    <row r="12" spans="2:20" x14ac:dyDescent="0.35">
      <c r="B12" s="75"/>
      <c r="C12" s="83"/>
      <c r="D12" s="83"/>
      <c r="E12" s="83"/>
      <c r="F12" s="83"/>
      <c r="G12" s="83"/>
      <c r="K12" s="131" t="s">
        <v>782</v>
      </c>
      <c r="L12" s="132">
        <f ca="1">ROUND(SUMIF(INDIRECT("'"&amp;L$2&amp;"'!$A$1:$A$500"),$K$11,INDIRECT("'"&amp;L$2&amp;"'!$C$1:$C$500"))-L11,2)</f>
        <v>0</v>
      </c>
      <c r="M12" s="132">
        <f t="shared" ref="M12:O12" ca="1" si="10">ROUND(SUMIF(INDIRECT("'"&amp;M$2&amp;"'!$A$1:$A$500"),$K$11,INDIRECT("'"&amp;M$2&amp;"'!$C$1:$C$500"))-M11,2)</f>
        <v>0</v>
      </c>
      <c r="N12" s="132">
        <f t="shared" ca="1" si="10"/>
        <v>0</v>
      </c>
      <c r="O12" s="132">
        <f t="shared" ca="1" si="10"/>
        <v>0</v>
      </c>
      <c r="Q12" s="75"/>
      <c r="R12" s="69"/>
      <c r="S12" s="69"/>
      <c r="T12" s="69"/>
    </row>
    <row r="13" spans="2:20" x14ac:dyDescent="0.35">
      <c r="B13" s="76" t="s">
        <v>25</v>
      </c>
      <c r="C13" s="82">
        <f ca="1">IFERROR(AVERAGE(D13:G13),0)</f>
        <v>3.3376611148151531E-3</v>
      </c>
      <c r="D13" s="82">
        <f ca="1">IFERROR(L13/L$18,0)</f>
        <v>1.018542057914203E-2</v>
      </c>
      <c r="E13" s="82">
        <f t="shared" ref="E13:F18" ca="1" si="11">IFERROR(M13/M$18,0)</f>
        <v>2.5616335197461821E-3</v>
      </c>
      <c r="F13" s="82">
        <f t="shared" ca="1" si="11"/>
        <v>6.0359036037239966E-4</v>
      </c>
      <c r="G13" s="82">
        <f t="shared" ref="G13:G18" ca="1" si="12">IFERROR(O13/O$18,0)</f>
        <v>0</v>
      </c>
      <c r="K13" s="76" t="s">
        <v>25</v>
      </c>
      <c r="L13" s="70">
        <f ca="1">SUMIF(INDIRECT("'"&amp;L$2&amp;"'!$A$1:$A$500"),$K13,INDIRECT("'"&amp;L$2&amp;"'!$C$1:$C$500"))</f>
        <v>1242</v>
      </c>
      <c r="M13" s="70">
        <f t="shared" ref="M13:O15" ca="1" si="13">SUMIF(INDIRECT("'"&amp;M$2&amp;"'!$A$1:$A$500"),$K13,INDIRECT("'"&amp;M$2&amp;"'!$C$1:$C$500"))</f>
        <v>830</v>
      </c>
      <c r="N13" s="70">
        <f t="shared" ca="1" si="13"/>
        <v>271</v>
      </c>
      <c r="O13" s="70">
        <f t="shared" ca="1" si="13"/>
        <v>0</v>
      </c>
      <c r="Q13" s="76" t="s">
        <v>25</v>
      </c>
      <c r="R13" s="70">
        <f t="shared" ca="1" si="6"/>
        <v>0</v>
      </c>
      <c r="S13" s="70">
        <f t="shared" ca="1" si="6"/>
        <v>0</v>
      </c>
      <c r="T13" s="70">
        <f t="shared" ca="1" si="6"/>
        <v>0</v>
      </c>
    </row>
    <row r="14" spans="2:20" x14ac:dyDescent="0.35">
      <c r="B14" s="76" t="s">
        <v>27</v>
      </c>
      <c r="C14" s="82">
        <f ca="1">IFERROR(AVERAGE(D14:G14),0)</f>
        <v>0.66171932656617471</v>
      </c>
      <c r="D14" s="82">
        <f ca="1">IFERROR(L14/L$18,0)</f>
        <v>0.77242719720515995</v>
      </c>
      <c r="E14" s="82">
        <f t="shared" ca="1" si="11"/>
        <v>0.6968353023962075</v>
      </c>
      <c r="F14" s="82">
        <f ca="1">IFERROR(N14/N$18,0)</f>
        <v>0.68287451556862222</v>
      </c>
      <c r="G14" s="82">
        <f t="shared" ca="1" si="12"/>
        <v>0.49474029109470924</v>
      </c>
      <c r="K14" s="76" t="s">
        <v>27</v>
      </c>
      <c r="L14" s="70">
        <f ca="1">SUMIF(INDIRECT("'"&amp;L$2&amp;"'!$A$1:$A$500"),$K14,INDIRECT("'"&amp;L$2&amp;"'!$C$1:$C$500"))</f>
        <v>94189</v>
      </c>
      <c r="M14" s="70">
        <f t="shared" ca="1" si="13"/>
        <v>225783</v>
      </c>
      <c r="N14" s="70">
        <f t="shared" ca="1" si="13"/>
        <v>306597</v>
      </c>
      <c r="O14" s="70">
        <f t="shared" ca="1" si="13"/>
        <v>28689</v>
      </c>
      <c r="Q14" s="76" t="s">
        <v>27</v>
      </c>
      <c r="R14" s="70">
        <f t="shared" ca="1" si="6"/>
        <v>530.48</v>
      </c>
      <c r="S14" s="70">
        <f t="shared" ca="1" si="6"/>
        <v>530.48</v>
      </c>
      <c r="T14" s="70">
        <f t="shared" ca="1" si="6"/>
        <v>530.48</v>
      </c>
    </row>
    <row r="15" spans="2:20" x14ac:dyDescent="0.35">
      <c r="B15" s="76" t="s">
        <v>29</v>
      </c>
      <c r="C15" s="82">
        <f ca="1">IFERROR(AVERAGE(D15:G15),0)</f>
        <v>5.1757645160517944E-3</v>
      </c>
      <c r="D15" s="82">
        <f ca="1">IFERROR(L15/L$18,0)</f>
        <v>0</v>
      </c>
      <c r="E15" s="82">
        <f t="shared" ca="1" si="11"/>
        <v>1.4098243274940435E-2</v>
      </c>
      <c r="F15" s="82">
        <f ca="1">IFERROR(N15/N$18,0)</f>
        <v>0</v>
      </c>
      <c r="G15" s="82">
        <f t="shared" ca="1" si="12"/>
        <v>6.6048147892667445E-3</v>
      </c>
      <c r="K15" s="76" t="s">
        <v>29</v>
      </c>
      <c r="L15" s="70">
        <f ca="1">SUMIF(INDIRECT("'"&amp;L$2&amp;"'!$A$1:$A$500"),$K15,INDIRECT("'"&amp;L$2&amp;"'!$C$1:$C$500"))</f>
        <v>0</v>
      </c>
      <c r="M15" s="70">
        <f t="shared" ca="1" si="13"/>
        <v>4568</v>
      </c>
      <c r="N15" s="70">
        <f t="shared" ca="1" si="13"/>
        <v>0</v>
      </c>
      <c r="O15" s="70">
        <f t="shared" ca="1" si="13"/>
        <v>383</v>
      </c>
      <c r="Q15" s="76" t="s">
        <v>29</v>
      </c>
      <c r="R15" s="70">
        <f t="shared" ca="1" si="6"/>
        <v>12611.2</v>
      </c>
      <c r="S15" s="70">
        <f t="shared" ca="1" si="6"/>
        <v>12611.2</v>
      </c>
      <c r="T15" s="70">
        <f t="shared" ca="1" si="6"/>
        <v>12611.2</v>
      </c>
    </row>
    <row r="16" spans="2:20" x14ac:dyDescent="0.35">
      <c r="B16" s="76" t="s">
        <v>31</v>
      </c>
      <c r="C16" s="82">
        <f ca="1">IFERROR(AVERAGE(D16:G16),0)</f>
        <v>0.12168526743829076</v>
      </c>
      <c r="D16" s="82">
        <f ca="1">IFERROR(L16/L$18,0)</f>
        <v>9.001221922436628E-2</v>
      </c>
      <c r="E16" s="82">
        <f t="shared" ca="1" si="11"/>
        <v>0.1675215732750639</v>
      </c>
      <c r="F16" s="82">
        <f ca="1">IFERROR(N16/N$18,0)</f>
        <v>0.13080760835671967</v>
      </c>
      <c r="G16" s="82">
        <f t="shared" ca="1" si="12"/>
        <v>9.8399668897013182E-2</v>
      </c>
      <c r="K16" s="76" t="s">
        <v>31</v>
      </c>
      <c r="L16" s="78">
        <f ca="1">SUMIF(INDIRECT("'"&amp;L$2&amp;"'!$A$1:$A$500"),$K17,INDIRECT("'"&amp;L$2&amp;"'!$C$1:$C$500"))-SUM(L12:L15)</f>
        <v>10976</v>
      </c>
      <c r="M16" s="78">
        <f t="shared" ref="M16:O16" ca="1" si="14">SUMIF(INDIRECT("'"&amp;M$2&amp;"'!$A$1:$A$500"),$K17,INDIRECT("'"&amp;M$2&amp;"'!$C$1:$C$500"))-SUM(M12:M15)</f>
        <v>54279</v>
      </c>
      <c r="N16" s="78">
        <f t="shared" ca="1" si="14"/>
        <v>58730</v>
      </c>
      <c r="O16" s="78">
        <f t="shared" ca="1" si="14"/>
        <v>5706</v>
      </c>
      <c r="Q16" s="76" t="s">
        <v>31</v>
      </c>
      <c r="R16" s="78">
        <f ca="1">R17-R13-R14-R15</f>
        <v>217.96999999999935</v>
      </c>
      <c r="S16" s="78">
        <f t="shared" ref="S16:T16" ca="1" si="15">S17-S13-S14-S15</f>
        <v>217.96999999999935</v>
      </c>
      <c r="T16" s="78">
        <f t="shared" ca="1" si="15"/>
        <v>217.96999999999935</v>
      </c>
    </row>
    <row r="17" spans="2:20" x14ac:dyDescent="0.35">
      <c r="B17" s="77" t="s">
        <v>33</v>
      </c>
      <c r="C17" s="81">
        <f ca="1">IFERROR(AVERAGE(D17:G17),0)</f>
        <v>0.79191801963533237</v>
      </c>
      <c r="D17" s="81">
        <f ca="1">IFERROR(L17/L$18,0)</f>
        <v>0.87262483700866822</v>
      </c>
      <c r="E17" s="81">
        <f t="shared" ca="1" si="11"/>
        <v>0.88101675246595801</v>
      </c>
      <c r="F17" s="81">
        <f ca="1">IFERROR(N17/N$18,0)</f>
        <v>0.81428571428571428</v>
      </c>
      <c r="G17" s="81">
        <f t="shared" ca="1" si="12"/>
        <v>0.5997447747809892</v>
      </c>
      <c r="K17" s="77" t="s">
        <v>33</v>
      </c>
      <c r="L17" s="73">
        <f ca="1">SUM(L13:L16)</f>
        <v>106407</v>
      </c>
      <c r="M17" s="73">
        <f t="shared" ref="M17:O17" ca="1" si="16">SUM(M13:M16)</f>
        <v>285460</v>
      </c>
      <c r="N17" s="73">
        <f t="shared" ca="1" si="16"/>
        <v>365598</v>
      </c>
      <c r="O17" s="73">
        <f t="shared" ca="1" si="16"/>
        <v>34778</v>
      </c>
      <c r="Q17" s="77" t="s">
        <v>33</v>
      </c>
      <c r="R17" s="72">
        <f t="shared" ca="1" si="6"/>
        <v>13359.65</v>
      </c>
      <c r="S17" s="72">
        <f t="shared" ca="1" si="6"/>
        <v>13359.65</v>
      </c>
      <c r="T17" s="72">
        <f t="shared" ca="1" si="6"/>
        <v>13359.65</v>
      </c>
    </row>
    <row r="18" spans="2:20" x14ac:dyDescent="0.35">
      <c r="B18" s="77" t="s">
        <v>35</v>
      </c>
      <c r="C18" s="81">
        <f t="shared" ref="C18:C33" ca="1" si="17">IFERROR(AVERAGE(D18:G18),0)</f>
        <v>1</v>
      </c>
      <c r="D18" s="81">
        <f ca="1">IFERROR(L18/L$18,0)</f>
        <v>1</v>
      </c>
      <c r="E18" s="81">
        <f t="shared" ca="1" si="11"/>
        <v>1</v>
      </c>
      <c r="F18" s="81">
        <f t="shared" ca="1" si="11"/>
        <v>1</v>
      </c>
      <c r="G18" s="81">
        <f t="shared" ca="1" si="12"/>
        <v>1</v>
      </c>
      <c r="K18" s="77" t="s">
        <v>35</v>
      </c>
      <c r="L18" s="73">
        <f ca="1">L17+L11</f>
        <v>121939</v>
      </c>
      <c r="M18" s="73">
        <f t="shared" ref="M18:O18" ca="1" si="18">M17+M11</f>
        <v>324012</v>
      </c>
      <c r="N18" s="73">
        <f t="shared" ca="1" si="18"/>
        <v>448980</v>
      </c>
      <c r="O18" s="73">
        <f t="shared" ca="1" si="18"/>
        <v>57988</v>
      </c>
      <c r="Q18" s="77" t="s">
        <v>35</v>
      </c>
      <c r="R18" s="72">
        <f t="shared" ca="1" si="6"/>
        <v>16634.82</v>
      </c>
      <c r="S18" s="72">
        <f t="shared" ca="1" si="6"/>
        <v>16634.82</v>
      </c>
      <c r="T18" s="72">
        <f t="shared" ca="1" si="6"/>
        <v>16634.82</v>
      </c>
    </row>
    <row r="19" spans="2:20" x14ac:dyDescent="0.35">
      <c r="B19" s="75"/>
      <c r="C19" s="83"/>
      <c r="D19" s="83"/>
      <c r="E19" s="83"/>
      <c r="F19" s="83"/>
      <c r="G19" s="83"/>
      <c r="K19" s="131" t="s">
        <v>783</v>
      </c>
      <c r="L19" s="132">
        <f ca="1">ROUND(SUMIF(INDIRECT("'"&amp;L$2&amp;"'!$A$1:$A$500"),$K$18,INDIRECT("'"&amp;L$2&amp;"'!$C$1:$C$500"))-L18,2)</f>
        <v>0</v>
      </c>
      <c r="M19" s="132">
        <f t="shared" ref="M19:O19" ca="1" si="19">ROUND(SUMIF(INDIRECT("'"&amp;M$2&amp;"'!$A$1:$A$500"),$K$18,INDIRECT("'"&amp;M$2&amp;"'!$C$1:$C$500"))-M18,2)</f>
        <v>0</v>
      </c>
      <c r="N19" s="132">
        <f t="shared" ca="1" si="19"/>
        <v>0</v>
      </c>
      <c r="O19" s="132">
        <f t="shared" ca="1" si="19"/>
        <v>0</v>
      </c>
      <c r="Q19" s="75"/>
      <c r="R19" s="69"/>
      <c r="S19" s="69"/>
      <c r="T19" s="69"/>
    </row>
    <row r="20" spans="2:20" x14ac:dyDescent="0.35">
      <c r="B20" s="76" t="s">
        <v>37</v>
      </c>
      <c r="C20" s="82">
        <f t="shared" ca="1" si="17"/>
        <v>9.140851999542117E-2</v>
      </c>
      <c r="D20" s="82">
        <f ca="1">IFERROR(L20/L$18,0)</f>
        <v>5.0992709469488841E-2</v>
      </c>
      <c r="E20" s="82">
        <f t="shared" ref="E20:F23" ca="1" si="20">IFERROR(M20/M$18,0)</f>
        <v>5.9503968988802884E-2</v>
      </c>
      <c r="F20" s="82">
        <f t="shared" ca="1" si="20"/>
        <v>8.0290881553744045E-2</v>
      </c>
      <c r="G20" s="82">
        <f t="shared" ref="G20:G23" ca="1" si="21">IFERROR(O20/O$18,0)</f>
        <v>0.17484651996964889</v>
      </c>
      <c r="K20" s="76" t="s">
        <v>37</v>
      </c>
      <c r="L20" s="70">
        <f ca="1">SUMIF(INDIRECT("'"&amp;L$2&amp;"'!$A$1:$A$500"),$K20,INDIRECT("'"&amp;L$2&amp;"'!$C$1:$C$500"))</f>
        <v>6218</v>
      </c>
      <c r="M20" s="70">
        <f t="shared" ref="M20:O21" ca="1" si="22">SUMIF(INDIRECT("'"&amp;M$2&amp;"'!$A$1:$A$500"),$K20,INDIRECT("'"&amp;M$2&amp;"'!$C$1:$C$500"))</f>
        <v>19280</v>
      </c>
      <c r="N20" s="70">
        <f t="shared" ca="1" si="22"/>
        <v>36049</v>
      </c>
      <c r="O20" s="70">
        <f t="shared" ca="1" si="22"/>
        <v>10139</v>
      </c>
      <c r="Q20" s="76" t="s">
        <v>37</v>
      </c>
      <c r="R20" s="70">
        <f t="shared" ca="1" si="6"/>
        <v>173.03</v>
      </c>
      <c r="S20" s="70">
        <f t="shared" ca="1" si="6"/>
        <v>173.03</v>
      </c>
      <c r="T20" s="70">
        <f t="shared" ca="1" si="6"/>
        <v>173.03</v>
      </c>
    </row>
    <row r="21" spans="2:20" x14ac:dyDescent="0.35">
      <c r="B21" s="76" t="s">
        <v>39</v>
      </c>
      <c r="C21" s="82">
        <f t="shared" ca="1" si="17"/>
        <v>1.2116478210976254E-2</v>
      </c>
      <c r="D21" s="82">
        <f ca="1">IFERROR(L21/L$18,0)</f>
        <v>8.3648381567833097E-3</v>
      </c>
      <c r="E21" s="82">
        <f t="shared" ca="1" si="20"/>
        <v>3.0153204202313494E-3</v>
      </c>
      <c r="F21" s="82">
        <f t="shared" ca="1" si="20"/>
        <v>2.0720299345182415E-2</v>
      </c>
      <c r="G21" s="82">
        <f t="shared" ca="1" si="21"/>
        <v>1.6365454921707941E-2</v>
      </c>
      <c r="K21" s="76" t="s">
        <v>39</v>
      </c>
      <c r="L21" s="70">
        <f ca="1">SUMIF(INDIRECT("'"&amp;L$2&amp;"'!$A$1:$A$500"),$K21,INDIRECT("'"&amp;L$2&amp;"'!$C$1:$C$500"))</f>
        <v>1020</v>
      </c>
      <c r="M21" s="70">
        <f t="shared" ca="1" si="22"/>
        <v>977</v>
      </c>
      <c r="N21" s="70">
        <f t="shared" ca="1" si="22"/>
        <v>9303</v>
      </c>
      <c r="O21" s="70">
        <f t="shared" ca="1" si="22"/>
        <v>949</v>
      </c>
      <c r="Q21" s="76" t="s">
        <v>39</v>
      </c>
      <c r="R21" s="70">
        <f t="shared" ca="1" si="6"/>
        <v>29.76</v>
      </c>
      <c r="S21" s="70">
        <f t="shared" ca="1" si="6"/>
        <v>29.76</v>
      </c>
      <c r="T21" s="70">
        <f t="shared" ca="1" si="6"/>
        <v>29.76</v>
      </c>
    </row>
    <row r="22" spans="2:20" x14ac:dyDescent="0.35">
      <c r="B22" s="76" t="s">
        <v>41</v>
      </c>
      <c r="C22" s="82">
        <f t="shared" ca="1" si="17"/>
        <v>4.7882543781855011E-2</v>
      </c>
      <c r="D22" s="82">
        <f ca="1">IFERROR(L22/L$18,0)</f>
        <v>3.8822690033541364E-2</v>
      </c>
      <c r="E22" s="82">
        <f t="shared" ca="1" si="20"/>
        <v>4.0523190499117318E-2</v>
      </c>
      <c r="F22" s="82">
        <f t="shared" ca="1" si="20"/>
        <v>6.0087309011537263E-2</v>
      </c>
      <c r="G22" s="82">
        <f t="shared" ca="1" si="21"/>
        <v>5.2096985583224113E-2</v>
      </c>
      <c r="K22" s="76" t="s">
        <v>41</v>
      </c>
      <c r="L22" s="78">
        <f ca="1">SUMIF(INDIRECT("'"&amp;L$2&amp;"'!$A$1:$A$500"),$K23,INDIRECT("'"&amp;L$2&amp;"'!$C$1:$C$500"))-SUM(L20:L21)</f>
        <v>4734</v>
      </c>
      <c r="M22" s="78">
        <f t="shared" ref="M22:O22" ca="1" si="23">SUMIF(INDIRECT("'"&amp;M$2&amp;"'!$A$1:$A$500"),$K23,INDIRECT("'"&amp;M$2&amp;"'!$C$1:$C$500"))-SUM(M20:M21)</f>
        <v>13130</v>
      </c>
      <c r="N22" s="78">
        <f t="shared" ca="1" si="23"/>
        <v>26978</v>
      </c>
      <c r="O22" s="78">
        <f t="shared" ca="1" si="23"/>
        <v>3021</v>
      </c>
      <c r="Q22" s="76" t="s">
        <v>41</v>
      </c>
      <c r="R22" s="78">
        <f ca="1">R23-R20-R21</f>
        <v>2432.6999999999994</v>
      </c>
      <c r="S22" s="78">
        <f t="shared" ref="S22:T22" ca="1" si="24">S23-S20-S21</f>
        <v>2432.6999999999994</v>
      </c>
      <c r="T22" s="78">
        <f t="shared" ca="1" si="24"/>
        <v>2432.6999999999994</v>
      </c>
    </row>
    <row r="23" spans="2:20" x14ac:dyDescent="0.35">
      <c r="B23" s="77" t="s">
        <v>43</v>
      </c>
      <c r="C23" s="81">
        <f t="shared" ca="1" si="17"/>
        <v>0.15140754198825243</v>
      </c>
      <c r="D23" s="81">
        <f ca="1">IFERROR(L23/L$18,0)</f>
        <v>9.8180237659813513E-2</v>
      </c>
      <c r="E23" s="81">
        <f t="shared" ca="1" si="20"/>
        <v>0.10304247990815155</v>
      </c>
      <c r="F23" s="81">
        <f t="shared" ca="1" si="20"/>
        <v>0.16109848991046372</v>
      </c>
      <c r="G23" s="81">
        <f t="shared" ca="1" si="21"/>
        <v>0.24330896047458095</v>
      </c>
      <c r="K23" s="77" t="s">
        <v>43</v>
      </c>
      <c r="L23" s="73">
        <f ca="1">SUM(L20:L22)</f>
        <v>11972</v>
      </c>
      <c r="M23" s="73">
        <f t="shared" ref="M23:O23" ca="1" si="25">SUM(M20:M22)</f>
        <v>33387</v>
      </c>
      <c r="N23" s="73">
        <f t="shared" ca="1" si="25"/>
        <v>72330</v>
      </c>
      <c r="O23" s="73">
        <f t="shared" ca="1" si="25"/>
        <v>14109</v>
      </c>
      <c r="Q23" s="77" t="s">
        <v>43</v>
      </c>
      <c r="R23" s="72">
        <f t="shared" ca="1" si="6"/>
        <v>2635.49</v>
      </c>
      <c r="S23" s="72">
        <f t="shared" ca="1" si="6"/>
        <v>2635.49</v>
      </c>
      <c r="T23" s="72">
        <f t="shared" ca="1" si="6"/>
        <v>2635.49</v>
      </c>
    </row>
    <row r="24" spans="2:20" x14ac:dyDescent="0.35">
      <c r="B24" s="75"/>
      <c r="C24" s="83"/>
      <c r="D24" s="83"/>
      <c r="E24" s="83"/>
      <c r="F24" s="83"/>
      <c r="G24" s="83"/>
      <c r="K24" s="131" t="s">
        <v>784</v>
      </c>
      <c r="L24" s="132">
        <f ca="1">ROUND(SUMIF(INDIRECT("'"&amp;L$2&amp;"'!$A$1:$A$500"),$K$23,INDIRECT("'"&amp;L$2&amp;"'!$C$1:$C$500"))-L23,2)</f>
        <v>0</v>
      </c>
      <c r="M24" s="132">
        <f t="shared" ref="M24:O24" ca="1" si="26">ROUND(SUMIF(INDIRECT("'"&amp;M$2&amp;"'!$A$1:$A$500"),$K$23,INDIRECT("'"&amp;M$2&amp;"'!$C$1:$C$500"))-M23,2)</f>
        <v>0</v>
      </c>
      <c r="N24" s="132">
        <f t="shared" ca="1" si="26"/>
        <v>0</v>
      </c>
      <c r="O24" s="132">
        <f t="shared" ca="1" si="26"/>
        <v>0</v>
      </c>
      <c r="Q24" s="75"/>
      <c r="R24" s="69"/>
      <c r="S24" s="69"/>
      <c r="T24" s="69"/>
    </row>
    <row r="25" spans="2:20" x14ac:dyDescent="0.35">
      <c r="B25" s="76" t="s">
        <v>45</v>
      </c>
      <c r="C25" s="82">
        <f t="shared" ca="1" si="17"/>
        <v>0.13748423289424999</v>
      </c>
      <c r="D25" s="82">
        <f ca="1">IFERROR(L25/L$18,0)</f>
        <v>0.18389522630167543</v>
      </c>
      <c r="E25" s="82">
        <f t="shared" ref="E25:F28" ca="1" si="27">IFERROR(M25/M$18,0)</f>
        <v>0.12277631692653358</v>
      </c>
      <c r="F25" s="82">
        <f t="shared" ca="1" si="27"/>
        <v>7.6506748630228522E-2</v>
      </c>
      <c r="G25" s="82">
        <f t="shared" ref="G25:G28" ca="1" si="28">IFERROR(O25/O$18,0)</f>
        <v>0.16675863971856247</v>
      </c>
      <c r="K25" s="76" t="s">
        <v>45</v>
      </c>
      <c r="L25" s="70">
        <f ca="1">SUMIF(INDIRECT("'"&amp;L$2&amp;"'!$A$1:$A$500"),$K25,INDIRECT("'"&amp;L$2&amp;"'!$C$1:$C$500"))</f>
        <v>22424</v>
      </c>
      <c r="M25" s="70">
        <f t="shared" ref="M25:O25" ca="1" si="29">SUMIF(INDIRECT("'"&amp;M$2&amp;"'!$A$1:$A$500"),$K25,INDIRECT("'"&amp;M$2&amp;"'!$C$1:$C$500"))</f>
        <v>39781</v>
      </c>
      <c r="N25" s="70">
        <f t="shared" ca="1" si="29"/>
        <v>34350</v>
      </c>
      <c r="O25" s="70">
        <f t="shared" ca="1" si="29"/>
        <v>9670</v>
      </c>
      <c r="Q25" s="76" t="s">
        <v>45</v>
      </c>
      <c r="R25" s="70">
        <f t="shared" ca="1" si="6"/>
        <v>3396.4</v>
      </c>
      <c r="S25" s="70">
        <f t="shared" ca="1" si="6"/>
        <v>3396.4</v>
      </c>
      <c r="T25" s="70">
        <f t="shared" ca="1" si="6"/>
        <v>3396.4</v>
      </c>
    </row>
    <row r="26" spans="2:20" x14ac:dyDescent="0.35">
      <c r="B26" s="76" t="s">
        <v>47</v>
      </c>
      <c r="C26" s="82">
        <f t="shared" ca="1" si="17"/>
        <v>0.16745564384636147</v>
      </c>
      <c r="D26" s="82">
        <f t="shared" ref="D7:D33" ca="1" si="30">IFERROR(L26/L$18,0)</f>
        <v>0.18907814563019215</v>
      </c>
      <c r="E26" s="82">
        <f t="shared" ca="1" si="27"/>
        <v>0.18106736787526387</v>
      </c>
      <c r="F26" s="82">
        <f t="shared" ca="1" si="27"/>
        <v>0.16854648313956078</v>
      </c>
      <c r="G26" s="82">
        <f t="shared" ca="1" si="28"/>
        <v>0.13113057874042905</v>
      </c>
      <c r="K26" s="76" t="s">
        <v>47</v>
      </c>
      <c r="L26" s="78">
        <f ca="1">SUMIF(INDIRECT("'"&amp;L$2&amp;"'!$A$1:$A$500"),$K27,INDIRECT("'"&amp;L$2&amp;"'!$C$1:$C$500"))-L25</f>
        <v>23056</v>
      </c>
      <c r="M26" s="78">
        <f t="shared" ref="M26:O26" ca="1" si="31">SUMIF(INDIRECT("'"&amp;M$2&amp;"'!$A$1:$A$500"),$K27,INDIRECT("'"&amp;M$2&amp;"'!$C$1:$C$500"))-M25</f>
        <v>58668</v>
      </c>
      <c r="N26" s="78">
        <f t="shared" ca="1" si="31"/>
        <v>75674</v>
      </c>
      <c r="O26" s="78">
        <f t="shared" ca="1" si="31"/>
        <v>7604</v>
      </c>
      <c r="Q26" s="76" t="s">
        <v>47</v>
      </c>
      <c r="R26" s="78">
        <f t="shared" ca="1" si="6"/>
        <v>210.26</v>
      </c>
      <c r="S26" s="78">
        <f t="shared" ca="1" si="6"/>
        <v>210.26</v>
      </c>
      <c r="T26" s="78">
        <f t="shared" ca="1" si="6"/>
        <v>210.26</v>
      </c>
    </row>
    <row r="27" spans="2:20" x14ac:dyDescent="0.35">
      <c r="B27" s="77" t="s">
        <v>49</v>
      </c>
      <c r="C27" s="81">
        <f t="shared" ca="1" si="17"/>
        <v>0.30493987674061152</v>
      </c>
      <c r="D27" s="81">
        <f ca="1">IFERROR(L27/L$18,0)</f>
        <v>0.37297337193186758</v>
      </c>
      <c r="E27" s="81">
        <f t="shared" ca="1" si="27"/>
        <v>0.30384368480179746</v>
      </c>
      <c r="F27" s="81">
        <f t="shared" ca="1" si="27"/>
        <v>0.2450532317697893</v>
      </c>
      <c r="G27" s="81">
        <f t="shared" ca="1" si="28"/>
        <v>0.29788921845899152</v>
      </c>
      <c r="K27" s="77" t="s">
        <v>49</v>
      </c>
      <c r="L27" s="73">
        <f ca="1">SUM(L25:L26)</f>
        <v>45480</v>
      </c>
      <c r="M27" s="73">
        <f t="shared" ref="M27:O27" ca="1" si="32">SUM(M25:M26)</f>
        <v>98449</v>
      </c>
      <c r="N27" s="73">
        <f t="shared" ca="1" si="32"/>
        <v>110024</v>
      </c>
      <c r="O27" s="73">
        <f t="shared" ca="1" si="32"/>
        <v>17274</v>
      </c>
      <c r="Q27" s="77" t="s">
        <v>49</v>
      </c>
      <c r="R27" s="72">
        <f t="shared" ca="1" si="6"/>
        <v>4557.9799999999996</v>
      </c>
      <c r="S27" s="72">
        <f t="shared" ca="1" si="6"/>
        <v>4557.9799999999996</v>
      </c>
      <c r="T27" s="72">
        <f t="shared" ca="1" si="6"/>
        <v>4557.9799999999996</v>
      </c>
    </row>
    <row r="28" spans="2:20" x14ac:dyDescent="0.35">
      <c r="B28" s="77" t="s">
        <v>51</v>
      </c>
      <c r="C28" s="81">
        <f t="shared" ca="1" si="17"/>
        <v>0.45634741872886392</v>
      </c>
      <c r="D28" s="81">
        <f t="shared" ca="1" si="30"/>
        <v>0.47115360959168107</v>
      </c>
      <c r="E28" s="81">
        <f t="shared" ca="1" si="27"/>
        <v>0.40688616470994904</v>
      </c>
      <c r="F28" s="81">
        <f t="shared" ca="1" si="27"/>
        <v>0.40615172168025304</v>
      </c>
      <c r="G28" s="81">
        <f t="shared" ca="1" si="28"/>
        <v>0.54119817893357247</v>
      </c>
      <c r="K28" s="77" t="s">
        <v>51</v>
      </c>
      <c r="L28" s="73">
        <f ca="1">SUM(L27,L23)</f>
        <v>57452</v>
      </c>
      <c r="M28" s="73">
        <f t="shared" ref="M28:O28" ca="1" si="33">SUM(M27,M23)</f>
        <v>131836</v>
      </c>
      <c r="N28" s="73">
        <f t="shared" ca="1" si="33"/>
        <v>182354</v>
      </c>
      <c r="O28" s="73">
        <f t="shared" ca="1" si="33"/>
        <v>31383</v>
      </c>
      <c r="Q28" s="77" t="s">
        <v>51</v>
      </c>
      <c r="R28" s="72">
        <f t="shared" ca="1" si="6"/>
        <v>7193.47</v>
      </c>
      <c r="S28" s="72">
        <f t="shared" ca="1" si="6"/>
        <v>7193.47</v>
      </c>
      <c r="T28" s="72">
        <f t="shared" ca="1" si="6"/>
        <v>7193.47</v>
      </c>
    </row>
    <row r="29" spans="2:20" x14ac:dyDescent="0.35">
      <c r="B29" s="75"/>
      <c r="C29" s="83"/>
      <c r="D29" s="83"/>
      <c r="E29" s="83"/>
      <c r="F29" s="83"/>
      <c r="G29" s="83"/>
      <c r="K29" s="131" t="s">
        <v>785</v>
      </c>
      <c r="L29" s="132">
        <f ca="1">ROUND(SUMIF(INDIRECT("'"&amp;L$2&amp;"'!$A$1:$A$500"),$K$28,INDIRECT("'"&amp;L$2&amp;"'!$C$1:$C$500"))-L28,2)</f>
        <v>0</v>
      </c>
      <c r="M29" s="132">
        <f t="shared" ref="M29:O29" ca="1" si="34">ROUND(SUMIF(INDIRECT("'"&amp;M$2&amp;"'!$A$1:$A$500"),$K$28,INDIRECT("'"&amp;M$2&amp;"'!$C$1:$C$500"))-M28,2)</f>
        <v>0</v>
      </c>
      <c r="N29" s="132">
        <f t="shared" ca="1" si="34"/>
        <v>0</v>
      </c>
      <c r="O29" s="132">
        <f t="shared" ca="1" si="34"/>
        <v>0</v>
      </c>
      <c r="Q29" s="75"/>
      <c r="R29" s="69"/>
      <c r="S29" s="69"/>
      <c r="T29" s="69"/>
    </row>
    <row r="30" spans="2:20" x14ac:dyDescent="0.35">
      <c r="B30" s="76" t="s">
        <v>53</v>
      </c>
      <c r="C30" s="82">
        <f t="shared" ca="1" si="17"/>
        <v>0.52278681304851216</v>
      </c>
      <c r="D30" s="82">
        <f t="shared" ca="1" si="30"/>
        <v>0.52884639040831893</v>
      </c>
      <c r="E30" s="82">
        <f t="shared" ref="E30:F33" ca="1" si="35">IFERROR(M30/M$18,0)</f>
        <v>0.57544165030924777</v>
      </c>
      <c r="F30" s="82">
        <f t="shared" ca="1" si="35"/>
        <v>0.57772283843378325</v>
      </c>
      <c r="G30" s="82">
        <f t="shared" ref="G30:G33" ca="1" si="36">IFERROR(O30/O$18,0)</f>
        <v>0.40913637304269851</v>
      </c>
      <c r="K30" s="76" t="s">
        <v>53</v>
      </c>
      <c r="L30" s="70">
        <f ca="1">SUMIF(INDIRECT("'"&amp;L$2&amp;"'!$A$1:$A$500"),$K30,INDIRECT("'"&amp;L$2&amp;"'!$C$1:$C$500"))</f>
        <v>64487</v>
      </c>
      <c r="M30" s="70">
        <f t="shared" ref="M30:O30" ca="1" si="37">SUMIF(INDIRECT("'"&amp;M$2&amp;"'!$A$1:$A$500"),$K30,INDIRECT("'"&amp;M$2&amp;"'!$C$1:$C$500"))</f>
        <v>186450</v>
      </c>
      <c r="N30" s="70">
        <f t="shared" ca="1" si="37"/>
        <v>259386</v>
      </c>
      <c r="O30" s="70">
        <f t="shared" ca="1" si="37"/>
        <v>23725</v>
      </c>
      <c r="Q30" s="76" t="s">
        <v>53</v>
      </c>
      <c r="R30" s="70">
        <f t="shared" ca="1" si="6"/>
        <v>9441.35</v>
      </c>
      <c r="S30" s="70">
        <f t="shared" ca="1" si="6"/>
        <v>9441.35</v>
      </c>
      <c r="T30" s="70">
        <f t="shared" ca="1" si="6"/>
        <v>9441.35</v>
      </c>
    </row>
    <row r="31" spans="2:20" x14ac:dyDescent="0.35">
      <c r="B31" s="76" t="s">
        <v>55</v>
      </c>
      <c r="C31" s="82">
        <f t="shared" ca="1" si="17"/>
        <v>2.0865768222623992E-2</v>
      </c>
      <c r="D31" s="82">
        <f t="shared" ca="1" si="30"/>
        <v>0</v>
      </c>
      <c r="E31" s="82">
        <f t="shared" ca="1" si="35"/>
        <v>1.7672184980803179E-2</v>
      </c>
      <c r="F31" s="82">
        <f t="shared" ca="1" si="35"/>
        <v>1.6125439885963742E-2</v>
      </c>
      <c r="G31" s="82">
        <f t="shared" ca="1" si="36"/>
        <v>4.9665448023729047E-2</v>
      </c>
      <c r="K31" s="76" t="s">
        <v>55</v>
      </c>
      <c r="L31" s="78">
        <f ca="1">SUMIF(INDIRECT("'"&amp;L$2&amp;"'!$A$1:$A$500"),$K32,INDIRECT("'"&amp;L$2&amp;"'!$C$1:$C$500"))-L30</f>
        <v>0</v>
      </c>
      <c r="M31" s="78">
        <f t="shared" ref="M31:O31" ca="1" si="38">SUMIF(INDIRECT("'"&amp;M$2&amp;"'!$A$1:$A$500"),$K32,INDIRECT("'"&amp;M$2&amp;"'!$C$1:$C$500"))-M30</f>
        <v>5726</v>
      </c>
      <c r="N31" s="78">
        <f t="shared" ca="1" si="38"/>
        <v>7240</v>
      </c>
      <c r="O31" s="78">
        <f t="shared" ca="1" si="38"/>
        <v>2880</v>
      </c>
      <c r="Q31" s="76" t="s">
        <v>55</v>
      </c>
      <c r="R31" s="78">
        <f t="shared" ca="1" si="6"/>
        <v>0</v>
      </c>
      <c r="S31" s="78">
        <f t="shared" ca="1" si="6"/>
        <v>0</v>
      </c>
      <c r="T31" s="78">
        <f t="shared" ca="1" si="6"/>
        <v>0</v>
      </c>
    </row>
    <row r="32" spans="2:20" ht="29" x14ac:dyDescent="0.35">
      <c r="B32" s="77" t="s">
        <v>57</v>
      </c>
      <c r="C32" s="81">
        <f t="shared" ca="1" si="17"/>
        <v>0.54365258127113614</v>
      </c>
      <c r="D32" s="81">
        <f t="shared" ca="1" si="30"/>
        <v>0.52884639040831893</v>
      </c>
      <c r="E32" s="81">
        <f t="shared" ca="1" si="35"/>
        <v>0.59311383529005102</v>
      </c>
      <c r="F32" s="81">
        <f t="shared" ca="1" si="35"/>
        <v>0.59384827831974696</v>
      </c>
      <c r="G32" s="81">
        <f t="shared" ca="1" si="36"/>
        <v>0.45880182106642753</v>
      </c>
      <c r="K32" s="77" t="s">
        <v>57</v>
      </c>
      <c r="L32" s="73">
        <f ca="1">SUM(L30:L31)</f>
        <v>64487</v>
      </c>
      <c r="M32" s="73">
        <f t="shared" ref="M32:O32" ca="1" si="39">SUM(M30:M31)</f>
        <v>192176</v>
      </c>
      <c r="N32" s="73">
        <f t="shared" ca="1" si="39"/>
        <v>266626</v>
      </c>
      <c r="O32" s="73">
        <f t="shared" ca="1" si="39"/>
        <v>26605</v>
      </c>
      <c r="Q32" s="77" t="s">
        <v>57</v>
      </c>
      <c r="R32" s="72">
        <f t="shared" ca="1" si="6"/>
        <v>9441.35</v>
      </c>
      <c r="S32" s="72">
        <f t="shared" ca="1" si="6"/>
        <v>9441.35</v>
      </c>
      <c r="T32" s="72">
        <f t="shared" ca="1" si="6"/>
        <v>9441.35</v>
      </c>
    </row>
    <row r="33" spans="2:20" x14ac:dyDescent="0.35">
      <c r="B33" s="77" t="s">
        <v>60</v>
      </c>
      <c r="C33" s="81">
        <f t="shared" ca="1" si="17"/>
        <v>1</v>
      </c>
      <c r="D33" s="81">
        <f t="shared" ca="1" si="30"/>
        <v>1</v>
      </c>
      <c r="E33" s="81">
        <f t="shared" ca="1" si="35"/>
        <v>1</v>
      </c>
      <c r="F33" s="81">
        <f t="shared" ca="1" si="35"/>
        <v>1</v>
      </c>
      <c r="G33" s="81">
        <f t="shared" ca="1" si="36"/>
        <v>1</v>
      </c>
      <c r="K33" s="77" t="s">
        <v>60</v>
      </c>
      <c r="L33" s="73">
        <f ca="1">L32+L28</f>
        <v>121939</v>
      </c>
      <c r="M33" s="73">
        <f t="shared" ref="M33:O33" ca="1" si="40">M32+M28</f>
        <v>324012</v>
      </c>
      <c r="N33" s="73">
        <f t="shared" ca="1" si="40"/>
        <v>448980</v>
      </c>
      <c r="O33" s="73">
        <f t="shared" ca="1" si="40"/>
        <v>57988</v>
      </c>
      <c r="Q33" s="77" t="s">
        <v>60</v>
      </c>
      <c r="R33" s="72">
        <f t="shared" ca="1" si="6"/>
        <v>16634.82</v>
      </c>
      <c r="S33" s="72">
        <f t="shared" ca="1" si="6"/>
        <v>16634.82</v>
      </c>
      <c r="T33" s="72">
        <f t="shared" ca="1" si="6"/>
        <v>16634.82</v>
      </c>
    </row>
    <row r="34" spans="2:20" x14ac:dyDescent="0.35">
      <c r="B34" s="77" t="s">
        <v>93</v>
      </c>
      <c r="C34" s="81"/>
      <c r="D34" s="81"/>
      <c r="E34" s="81"/>
      <c r="F34" s="81"/>
      <c r="G34" s="81"/>
      <c r="K34" s="131" t="s">
        <v>786</v>
      </c>
      <c r="L34" s="132">
        <f ca="1">ROUND(L18-L33,2)</f>
        <v>0</v>
      </c>
      <c r="M34" s="132">
        <f t="shared" ref="M34:O34" ca="1" si="41">ROUND(M18-M33,2)</f>
        <v>0</v>
      </c>
      <c r="N34" s="132">
        <f t="shared" ca="1" si="41"/>
        <v>0</v>
      </c>
      <c r="O34" s="132">
        <f t="shared" ca="1" si="41"/>
        <v>0</v>
      </c>
      <c r="Q34" s="77" t="s">
        <v>93</v>
      </c>
      <c r="R34" s="73">
        <f ca="1">R18-R33</f>
        <v>0</v>
      </c>
      <c r="S34" s="73">
        <f t="shared" ref="S34:T34" ca="1" si="42">S18-S33</f>
        <v>0</v>
      </c>
      <c r="T34" s="73">
        <f t="shared" ca="1" si="42"/>
        <v>0</v>
      </c>
    </row>
    <row r="35" spans="2:20" x14ac:dyDescent="0.35">
      <c r="B35" s="76"/>
      <c r="C35" s="84"/>
      <c r="D35" s="84"/>
      <c r="E35" s="84"/>
      <c r="F35" s="84"/>
      <c r="G35" s="84"/>
      <c r="K35" s="76"/>
      <c r="L35" s="71"/>
      <c r="M35" s="71"/>
      <c r="N35" s="71"/>
      <c r="O35" s="71"/>
      <c r="Q35" s="76"/>
      <c r="R35" s="71"/>
      <c r="S35" s="71"/>
      <c r="T35" s="71"/>
    </row>
    <row r="36" spans="2:20" x14ac:dyDescent="0.35">
      <c r="B36" s="74" t="s">
        <v>62</v>
      </c>
      <c r="C36" s="85"/>
      <c r="D36" s="85"/>
      <c r="E36" s="85"/>
      <c r="F36" s="85"/>
      <c r="G36" s="85"/>
      <c r="K36" s="74" t="s">
        <v>62</v>
      </c>
      <c r="L36" s="87">
        <v>2025</v>
      </c>
      <c r="M36" s="87">
        <v>2025</v>
      </c>
      <c r="N36" s="87">
        <v>2025</v>
      </c>
      <c r="O36" s="87">
        <v>2025</v>
      </c>
      <c r="Q36" s="74" t="s">
        <v>62</v>
      </c>
      <c r="R36" s="87">
        <v>2024</v>
      </c>
      <c r="S36" s="87">
        <v>2024</v>
      </c>
      <c r="T36" s="87">
        <v>2024</v>
      </c>
    </row>
    <row r="37" spans="2:20" x14ac:dyDescent="0.35">
      <c r="B37" s="77" t="s">
        <v>64</v>
      </c>
      <c r="C37" s="81">
        <f t="shared" ref="C37:C52" ca="1" si="43">IFERROR(AVERAGE(D37:G37),0)</f>
        <v>1</v>
      </c>
      <c r="D37" s="81">
        <f ca="1">IFERROR(L37/L$37,0)</f>
        <v>1</v>
      </c>
      <c r="E37" s="81">
        <f t="shared" ref="E37:F52" ca="1" si="44">IFERROR(M37/M$37,0)</f>
        <v>1</v>
      </c>
      <c r="F37" s="81">
        <f t="shared" ca="1" si="44"/>
        <v>1</v>
      </c>
      <c r="G37" s="81">
        <f t="shared" ref="G37:G52" ca="1" si="45">IFERROR(O37/O$37,0)</f>
        <v>1</v>
      </c>
      <c r="K37" s="77" t="s">
        <v>64</v>
      </c>
      <c r="L37" s="72">
        <f ca="1">SUMIF(INDIRECT("'"&amp;L$2&amp;"'!$A$1:$A$500"),$K37,INDIRECT("'"&amp;L$2&amp;"'!$C$1:$C$500"))</f>
        <v>58944</v>
      </c>
      <c r="M37" s="72">
        <f t="shared" ref="M37:O38" ca="1" si="46">SUMIF(INDIRECT("'"&amp;M$2&amp;"'!$A$1:$A$500"),$K37,INDIRECT("'"&amp;M$2&amp;"'!$C$1:$C$500"))</f>
        <v>184432</v>
      </c>
      <c r="N37" s="72">
        <f t="shared" ca="1" si="46"/>
        <v>323905</v>
      </c>
      <c r="O37" s="72">
        <f t="shared" ca="1" si="46"/>
        <v>115967</v>
      </c>
      <c r="Q37" s="77" t="s">
        <v>64</v>
      </c>
      <c r="R37" s="72">
        <f t="shared" ref="R37:T52" ca="1" si="47">SUMIF(INDIRECT("'"&amp;R$2&amp;"'!$A$1:$A$400"),$K37,INDIRECT("'"&amp;R$2&amp;"'!$b$1:$b$400"))</f>
        <v>8188.99</v>
      </c>
      <c r="S37" s="72">
        <f t="shared" ca="1" si="47"/>
        <v>8188.99</v>
      </c>
      <c r="T37" s="72">
        <f t="shared" ca="1" si="47"/>
        <v>8188.99</v>
      </c>
    </row>
    <row r="38" spans="2:20" x14ac:dyDescent="0.35">
      <c r="B38" s="76" t="s">
        <v>66</v>
      </c>
      <c r="C38" s="82">
        <f t="shared" ca="1" si="43"/>
        <v>0.79133438059716099</v>
      </c>
      <c r="D38" s="82">
        <f ca="1">IFERROR(L38/L$37,0)</f>
        <v>0.74548724212812156</v>
      </c>
      <c r="E38" s="82">
        <f t="shared" ca="1" si="44"/>
        <v>0.69181595384748851</v>
      </c>
      <c r="F38" s="82">
        <f t="shared" ca="1" si="44"/>
        <v>0.77433198005588055</v>
      </c>
      <c r="G38" s="82">
        <f t="shared" ca="1" si="45"/>
        <v>0.95370234635715334</v>
      </c>
      <c r="K38" s="76" t="s">
        <v>281</v>
      </c>
      <c r="L38" s="70">
        <f ca="1">SUMIF(INDIRECT("'"&amp;L$2&amp;"'!$A$1:$A$500"),$K38,INDIRECT("'"&amp;L$2&amp;"'!$C$1:$C$500"))</f>
        <v>43942</v>
      </c>
      <c r="M38" s="70">
        <f t="shared" ca="1" si="46"/>
        <v>127593</v>
      </c>
      <c r="N38" s="70">
        <f t="shared" ca="1" si="46"/>
        <v>250810</v>
      </c>
      <c r="O38" s="70">
        <f t="shared" ca="1" si="46"/>
        <v>110598</v>
      </c>
      <c r="Q38" s="76" t="s">
        <v>66</v>
      </c>
      <c r="R38" s="78">
        <f t="shared" ca="1" si="47"/>
        <v>6306.56</v>
      </c>
      <c r="S38" s="78">
        <f t="shared" ca="1" si="47"/>
        <v>6306.56</v>
      </c>
      <c r="T38" s="78">
        <f t="shared" ca="1" si="47"/>
        <v>6306.56</v>
      </c>
    </row>
    <row r="39" spans="2:20" x14ac:dyDescent="0.35">
      <c r="B39" s="77" t="s">
        <v>68</v>
      </c>
      <c r="C39" s="81">
        <f t="shared" ca="1" si="43"/>
        <v>0.20866561940283898</v>
      </c>
      <c r="D39" s="81">
        <f ca="1">IFERROR(L39/L$37,0)</f>
        <v>0.25451275787187838</v>
      </c>
      <c r="E39" s="81">
        <f t="shared" ca="1" si="44"/>
        <v>0.30818404615251149</v>
      </c>
      <c r="F39" s="81">
        <f t="shared" ca="1" si="44"/>
        <v>0.22566801994411942</v>
      </c>
      <c r="G39" s="81">
        <f t="shared" ca="1" si="45"/>
        <v>4.6297653642846673E-2</v>
      </c>
      <c r="K39" s="77" t="s">
        <v>68</v>
      </c>
      <c r="L39" s="73">
        <f ca="1">L37-L38</f>
        <v>15002</v>
      </c>
      <c r="M39" s="73">
        <f t="shared" ref="M39:O39" ca="1" si="48">M37-M38</f>
        <v>56839</v>
      </c>
      <c r="N39" s="73">
        <f t="shared" ca="1" si="48"/>
        <v>73095</v>
      </c>
      <c r="O39" s="73">
        <f t="shared" ca="1" si="48"/>
        <v>5369</v>
      </c>
      <c r="Q39" s="77" t="s">
        <v>68</v>
      </c>
      <c r="R39" s="72">
        <f t="shared" ca="1" si="47"/>
        <v>1882.43</v>
      </c>
      <c r="S39" s="72">
        <f t="shared" ca="1" si="47"/>
        <v>1882.43</v>
      </c>
      <c r="T39" s="72">
        <f t="shared" ca="1" si="47"/>
        <v>1882.43</v>
      </c>
    </row>
    <row r="40" spans="2:20" ht="29" x14ac:dyDescent="0.35">
      <c r="B40" s="76" t="s">
        <v>70</v>
      </c>
      <c r="C40" s="82">
        <f t="shared" ca="1" si="43"/>
        <v>5.8566314100249879E-2</v>
      </c>
      <c r="D40" s="82">
        <f ca="1">IFERROR(L40/L$37,0)</f>
        <v>5.4373642779587408E-2</v>
      </c>
      <c r="E40" s="82">
        <f t="shared" ca="1" si="44"/>
        <v>5.9534137242994709E-2</v>
      </c>
      <c r="F40" s="82">
        <f t="shared" ca="1" si="44"/>
        <v>0.11137216159058984</v>
      </c>
      <c r="G40" s="82">
        <f t="shared" ca="1" si="45"/>
        <v>8.9853147878275717E-3</v>
      </c>
      <c r="K40" s="76" t="s">
        <v>70</v>
      </c>
      <c r="L40" s="70">
        <f ca="1">SUMIF(
INDIRECT("'"&amp;L$2&amp;"'!$A$1:$A$500"),
$K40,
INDIRECT("'"&amp;L$2&amp;"'!$C$1:$C$500")
)</f>
        <v>3205</v>
      </c>
      <c r="M40" s="70">
        <f t="shared" ref="M40:O41" ca="1" si="49">SUMIF(
INDIRECT("'"&amp;M$2&amp;"'!$A$1:$A$500"),
$K40,
INDIRECT("'"&amp;M$2&amp;"'!$C$1:$C$500")
)</f>
        <v>10980</v>
      </c>
      <c r="N40" s="70">
        <f t="shared" ca="1" si="49"/>
        <v>36074</v>
      </c>
      <c r="O40" s="70">
        <f t="shared" ca="1" si="49"/>
        <v>1042</v>
      </c>
      <c r="Q40" s="76" t="s">
        <v>70</v>
      </c>
      <c r="R40" s="70">
        <f t="shared" ca="1" si="47"/>
        <v>728.35</v>
      </c>
      <c r="S40" s="70">
        <f t="shared" ca="1" si="47"/>
        <v>728.35</v>
      </c>
      <c r="T40" s="70">
        <f t="shared" ca="1" si="47"/>
        <v>728.35</v>
      </c>
    </row>
    <row r="41" spans="2:20" x14ac:dyDescent="0.35">
      <c r="B41" s="76" t="s">
        <v>72</v>
      </c>
      <c r="C41" s="82">
        <f t="shared" ca="1" si="43"/>
        <v>1.8574353587449922E-3</v>
      </c>
      <c r="D41" s="82">
        <f ca="1">IFERROR(L41/L$37,0)</f>
        <v>1.3232899022801302E-3</v>
      </c>
      <c r="E41" s="82">
        <f t="shared" ca="1" si="44"/>
        <v>2.3152164483386832E-3</v>
      </c>
      <c r="F41" s="82">
        <f t="shared" ca="1" si="44"/>
        <v>3.7912350843611552E-3</v>
      </c>
      <c r="G41" s="82">
        <f t="shared" ca="1" si="45"/>
        <v>0</v>
      </c>
      <c r="K41" s="76" t="s">
        <v>72</v>
      </c>
      <c r="L41" s="70">
        <f ca="1">SUMIF(
INDIRECT("'"&amp;L$2&amp;"'!$A$1:$A$500"),
$K41,
INDIRECT("'"&amp;L$2&amp;"'!$C$1:$C$500")
)</f>
        <v>78</v>
      </c>
      <c r="M41" s="70">
        <f t="shared" ca="1" si="49"/>
        <v>427</v>
      </c>
      <c r="N41" s="70">
        <f t="shared" ca="1" si="49"/>
        <v>1228</v>
      </c>
      <c r="O41" s="70">
        <f t="shared" ca="1" si="49"/>
        <v>0</v>
      </c>
      <c r="Q41" s="76" t="s">
        <v>72</v>
      </c>
      <c r="R41" s="70">
        <f t="shared" ca="1" si="47"/>
        <v>0</v>
      </c>
      <c r="S41" s="70">
        <f t="shared" ca="1" si="47"/>
        <v>0</v>
      </c>
      <c r="T41" s="70">
        <f t="shared" ca="1" si="47"/>
        <v>0</v>
      </c>
    </row>
    <row r="42" spans="2:20" x14ac:dyDescent="0.35">
      <c r="B42" s="76" t="s">
        <v>74</v>
      </c>
      <c r="C42" s="82">
        <f t="shared" ca="1" si="43"/>
        <v>3.308204791723883E-2</v>
      </c>
      <c r="D42" s="82">
        <f ca="1">IFERROR(L42/L$37,0)</f>
        <v>-3.5118078175895764E-3</v>
      </c>
      <c r="E42" s="82">
        <f t="shared" ca="1" si="44"/>
        <v>0.14456818773314825</v>
      </c>
      <c r="F42" s="82">
        <f t="shared" ca="1" si="44"/>
        <v>-8.8575353884626663E-3</v>
      </c>
      <c r="G42" s="82">
        <f t="shared" ca="1" si="45"/>
        <v>1.2934714185932204E-4</v>
      </c>
      <c r="K42" s="76" t="s">
        <v>82</v>
      </c>
      <c r="L42" s="78">
        <f ca="1">SUMIF(INDIRECT("'"&amp;L$2&amp;"'!$A$1:$A$500"),$K$43,INDIRECT("'"&amp;L$2&amp;"'!$C$1:$C$500"))-L38-L40-L41</f>
        <v>-207</v>
      </c>
      <c r="M42" s="78">
        <f t="shared" ref="M42:O42" ca="1" si="50">SUMIF(INDIRECT("'"&amp;M$2&amp;"'!$A$1:$A$500"),$K$43,INDIRECT("'"&amp;M$2&amp;"'!$C$1:$C$500"))-M38-M40-M41</f>
        <v>26663</v>
      </c>
      <c r="N42" s="78">
        <f t="shared" ca="1" si="50"/>
        <v>-2869</v>
      </c>
      <c r="O42" s="78">
        <f t="shared" ca="1" si="50"/>
        <v>15</v>
      </c>
      <c r="Q42" s="76" t="s">
        <v>82</v>
      </c>
      <c r="R42" s="78">
        <f t="shared" ca="1" si="47"/>
        <v>0</v>
      </c>
      <c r="S42" s="78">
        <f t="shared" ca="1" si="47"/>
        <v>0</v>
      </c>
      <c r="T42" s="78">
        <f t="shared" ca="1" si="47"/>
        <v>0</v>
      </c>
    </row>
    <row r="43" spans="2:20" x14ac:dyDescent="0.35">
      <c r="B43" s="77" t="s">
        <v>76</v>
      </c>
      <c r="C43" s="81">
        <f t="shared" ca="1" si="43"/>
        <v>0.88484017797339476</v>
      </c>
      <c r="D43" s="81">
        <f ca="1">IFERROR(L43/L$37,0)</f>
        <v>0.79767236699239952</v>
      </c>
      <c r="E43" s="81">
        <f t="shared" ca="1" si="44"/>
        <v>0.89823349527197016</v>
      </c>
      <c r="F43" s="81">
        <f t="shared" ca="1" si="44"/>
        <v>0.88063784134236889</v>
      </c>
      <c r="G43" s="81">
        <f t="shared" ca="1" si="45"/>
        <v>0.96281700828684025</v>
      </c>
      <c r="K43" s="77" t="s">
        <v>76</v>
      </c>
      <c r="L43" s="73">
        <f ca="1">SUM(L38,L40:L42)</f>
        <v>47018</v>
      </c>
      <c r="M43" s="73">
        <f t="shared" ref="M43:O43" ca="1" si="51">SUM(M38,M40:M42)</f>
        <v>165663</v>
      </c>
      <c r="N43" s="73">
        <f t="shared" ca="1" si="51"/>
        <v>285243</v>
      </c>
      <c r="O43" s="73">
        <f t="shared" ca="1" si="51"/>
        <v>111655</v>
      </c>
      <c r="Q43" s="77" t="s">
        <v>76</v>
      </c>
      <c r="R43" s="72">
        <f t="shared" ca="1" si="47"/>
        <v>7034.91</v>
      </c>
      <c r="S43" s="72">
        <f t="shared" ca="1" si="47"/>
        <v>7034.91</v>
      </c>
      <c r="T43" s="72">
        <f t="shared" ca="1" si="47"/>
        <v>7034.91</v>
      </c>
    </row>
    <row r="44" spans="2:20" x14ac:dyDescent="0.35">
      <c r="B44" s="77" t="s">
        <v>78</v>
      </c>
      <c r="C44" s="81">
        <f t="shared" ca="1" si="43"/>
        <v>0.1151598220266053</v>
      </c>
      <c r="D44" s="81">
        <f ca="1">IFERROR(L44/L$37,0)</f>
        <v>0.20232763300760043</v>
      </c>
      <c r="E44" s="81">
        <f t="shared" ca="1" si="44"/>
        <v>0.10176650472802984</v>
      </c>
      <c r="F44" s="81">
        <f t="shared" ca="1" si="44"/>
        <v>0.1193621586576311</v>
      </c>
      <c r="G44" s="81">
        <f t="shared" ca="1" si="45"/>
        <v>3.718299171315978E-2</v>
      </c>
      <c r="K44" s="77" t="s">
        <v>78</v>
      </c>
      <c r="L44" s="73">
        <f ca="1">L37-L43</f>
        <v>11926</v>
      </c>
      <c r="M44" s="73">
        <f t="shared" ref="M44:O44" ca="1" si="52">M37-M43</f>
        <v>18769</v>
      </c>
      <c r="N44" s="73">
        <f t="shared" ca="1" si="52"/>
        <v>38662</v>
      </c>
      <c r="O44" s="73">
        <f t="shared" ca="1" si="52"/>
        <v>4312</v>
      </c>
      <c r="Q44" s="77" t="s">
        <v>78</v>
      </c>
      <c r="R44" s="72">
        <f t="shared" ca="1" si="47"/>
        <v>1154.08</v>
      </c>
      <c r="S44" s="72">
        <f t="shared" ca="1" si="47"/>
        <v>1154.08</v>
      </c>
      <c r="T44" s="72">
        <f t="shared" ca="1" si="47"/>
        <v>1154.08</v>
      </c>
    </row>
    <row r="45" spans="2:20" x14ac:dyDescent="0.35">
      <c r="B45" s="76" t="s">
        <v>79</v>
      </c>
      <c r="C45" s="82">
        <f t="shared" ca="1" si="43"/>
        <v>0.10237049991689537</v>
      </c>
      <c r="D45" s="82">
        <f ca="1">IFERROR(L45/L$37,0)</f>
        <v>0.19510043431053203</v>
      </c>
      <c r="E45" s="82">
        <f t="shared" ca="1" si="44"/>
        <v>0.1050739567970851</v>
      </c>
      <c r="F45" s="82">
        <f t="shared" ca="1" si="44"/>
        <v>7.452185054259737E-2</v>
      </c>
      <c r="G45" s="82">
        <f t="shared" ca="1" si="45"/>
        <v>3.4785758017367011E-2</v>
      </c>
      <c r="K45" s="76" t="s">
        <v>79</v>
      </c>
      <c r="L45" s="70">
        <f ca="1">SUMIF(
INDIRECT("'"&amp;L$2&amp;"'!$A$1:$A$500"),
$K45,
INDIRECT("'"&amp;L$2&amp;"'!$C$1:$C$500")
)</f>
        <v>11500</v>
      </c>
      <c r="M45" s="70">
        <f t="shared" ref="M45:O45" ca="1" si="53">SUMIF(
INDIRECT("'"&amp;M$2&amp;"'!$A$1:$A$500"),
$K45,
INDIRECT("'"&amp;M$2&amp;"'!$C$1:$C$500")
)</f>
        <v>19379</v>
      </c>
      <c r="N45" s="70">
        <f t="shared" ca="1" si="53"/>
        <v>24138</v>
      </c>
      <c r="O45" s="70">
        <f t="shared" ca="1" si="53"/>
        <v>4034</v>
      </c>
      <c r="Q45" s="76" t="s">
        <v>79</v>
      </c>
      <c r="R45" s="70">
        <f t="shared" ca="1" si="47"/>
        <v>488.5</v>
      </c>
      <c r="S45" s="70">
        <f t="shared" ca="1" si="47"/>
        <v>488.5</v>
      </c>
      <c r="T45" s="70">
        <f t="shared" ca="1" si="47"/>
        <v>488.5</v>
      </c>
    </row>
    <row r="46" spans="2:20" ht="29" x14ac:dyDescent="0.35">
      <c r="B46" s="77" t="s">
        <v>80</v>
      </c>
      <c r="C46" s="81">
        <f t="shared" ca="1" si="43"/>
        <v>0.21753032194350069</v>
      </c>
      <c r="D46" s="81">
        <f ca="1">IFERROR(L46/L$37,0)</f>
        <v>0.39742806731813246</v>
      </c>
      <c r="E46" s="81">
        <f t="shared" ca="1" si="44"/>
        <v>0.20684046152511495</v>
      </c>
      <c r="F46" s="81">
        <f t="shared" ca="1" si="44"/>
        <v>0.19388400920022847</v>
      </c>
      <c r="G46" s="81">
        <f t="shared" ca="1" si="45"/>
        <v>7.196874973052679E-2</v>
      </c>
      <c r="K46" s="77" t="s">
        <v>80</v>
      </c>
      <c r="L46" s="73">
        <f ca="1">L44+L45</f>
        <v>23426</v>
      </c>
      <c r="M46" s="73">
        <f t="shared" ref="M46:O46" ca="1" si="54">M44+M45</f>
        <v>38148</v>
      </c>
      <c r="N46" s="73">
        <f t="shared" ca="1" si="54"/>
        <v>62800</v>
      </c>
      <c r="O46" s="73">
        <f t="shared" ca="1" si="54"/>
        <v>8346</v>
      </c>
      <c r="Q46" s="77" t="s">
        <v>80</v>
      </c>
      <c r="R46" s="72">
        <f t="shared" ca="1" si="47"/>
        <v>1642.58</v>
      </c>
      <c r="S46" s="72">
        <f t="shared" ca="1" si="47"/>
        <v>1642.58</v>
      </c>
      <c r="T46" s="72">
        <f t="shared" ca="1" si="47"/>
        <v>1642.58</v>
      </c>
    </row>
    <row r="47" spans="2:20" x14ac:dyDescent="0.35">
      <c r="B47" s="76" t="s">
        <v>81</v>
      </c>
      <c r="C47" s="82">
        <f t="shared" ca="1" si="43"/>
        <v>5.2725984084712775E-3</v>
      </c>
      <c r="D47" s="82">
        <f ca="1">IFERROR(L47/L$37,0)</f>
        <v>9.2290988056460375E-3</v>
      </c>
      <c r="E47" s="82">
        <f t="shared" ca="1" si="44"/>
        <v>5.2051704693328706E-3</v>
      </c>
      <c r="F47" s="82">
        <f t="shared" ca="1" si="44"/>
        <v>1.8616569673206649E-3</v>
      </c>
      <c r="G47" s="82">
        <f t="shared" ca="1" si="45"/>
        <v>4.7944673915855376E-3</v>
      </c>
      <c r="K47" s="76" t="s">
        <v>81</v>
      </c>
      <c r="L47" s="70">
        <f ca="1">SUMIF(
INDIRECT("'"&amp;L$2&amp;"'!$A$1:$A$500"),
$K47,
INDIRECT("'"&amp;L$2&amp;"'!$C$1:$C$500")
)</f>
        <v>544</v>
      </c>
      <c r="M47" s="70">
        <f t="shared" ref="M47:O47" ca="1" si="55">SUMIF(
INDIRECT("'"&amp;M$2&amp;"'!$A$1:$A$500"),
$K47,
INDIRECT("'"&amp;M$2&amp;"'!$C$1:$C$500")
)</f>
        <v>960</v>
      </c>
      <c r="N47" s="70">
        <f t="shared" ca="1" si="55"/>
        <v>603</v>
      </c>
      <c r="O47" s="70">
        <f t="shared" ca="1" si="55"/>
        <v>556</v>
      </c>
      <c r="Q47" s="76" t="s">
        <v>81</v>
      </c>
      <c r="R47" s="70">
        <f t="shared" ca="1" si="47"/>
        <v>228.63</v>
      </c>
      <c r="S47" s="70">
        <f t="shared" ca="1" si="47"/>
        <v>228.63</v>
      </c>
      <c r="T47" s="70">
        <f t="shared" ca="1" si="47"/>
        <v>228.63</v>
      </c>
    </row>
    <row r="48" spans="2:20" x14ac:dyDescent="0.35">
      <c r="B48" s="76" t="s">
        <v>82</v>
      </c>
      <c r="C48" s="82">
        <f t="shared" ca="1" si="43"/>
        <v>8.8828075984070665E-3</v>
      </c>
      <c r="D48" s="82">
        <f ca="1">IFERROR(L48/L$37,0)</f>
        <v>2.1613735070575461E-2</v>
      </c>
      <c r="E48" s="82">
        <f t="shared" ca="1" si="44"/>
        <v>1.0486249674676845E-2</v>
      </c>
      <c r="F48" s="82">
        <f t="shared" ca="1" si="44"/>
        <v>9.9072258841326928E-3</v>
      </c>
      <c r="G48" s="82">
        <f t="shared" ca="1" si="45"/>
        <v>-6.4759802357567241E-3</v>
      </c>
      <c r="K48" s="76" t="s">
        <v>82</v>
      </c>
      <c r="L48" s="78">
        <f ca="1">SUMIF(INDIRECT("'"&amp;L$2&amp;"'!$A$1:$A$500"),$K$49,INDIRECT("'"&amp;L$2&amp;"'!$C$1:$C$500"))-L44+L47</f>
        <v>1274</v>
      </c>
      <c r="M48" s="78">
        <f t="shared" ref="M48:O48" ca="1" si="56">SUMIF(INDIRECT("'"&amp;M$2&amp;"'!$A$1:$A$500"),$K$49,INDIRECT("'"&amp;M$2&amp;"'!$C$1:$C$500"))-M44+M47</f>
        <v>1934</v>
      </c>
      <c r="N48" s="78">
        <f t="shared" ca="1" si="56"/>
        <v>3209</v>
      </c>
      <c r="O48" s="78">
        <f t="shared" ca="1" si="56"/>
        <v>-751</v>
      </c>
      <c r="Q48" s="76" t="s">
        <v>82</v>
      </c>
      <c r="R48" s="78">
        <f t="shared" ca="1" si="47"/>
        <v>0</v>
      </c>
      <c r="S48" s="78">
        <f t="shared" ca="1" si="47"/>
        <v>0</v>
      </c>
      <c r="T48" s="78">
        <f t="shared" ca="1" si="47"/>
        <v>0</v>
      </c>
    </row>
    <row r="49" spans="2:20" x14ac:dyDescent="0.35">
      <c r="B49" s="77" t="s">
        <v>83</v>
      </c>
      <c r="C49" s="81">
        <f t="shared" ca="1" si="43"/>
        <v>0.11877003121654109</v>
      </c>
      <c r="D49" s="81">
        <f ca="1">IFERROR(L49/L$37,0)</f>
        <v>0.21471226927252987</v>
      </c>
      <c r="E49" s="81">
        <f t="shared" ca="1" si="44"/>
        <v>0.10704758393337382</v>
      </c>
      <c r="F49" s="81">
        <f t="shared" ca="1" si="44"/>
        <v>0.12740772757444313</v>
      </c>
      <c r="G49" s="81">
        <f t="shared" ca="1" si="45"/>
        <v>2.5912544085817515E-2</v>
      </c>
      <c r="K49" s="77" t="s">
        <v>83</v>
      </c>
      <c r="L49" s="73">
        <f ca="1">L44-L47+L48</f>
        <v>12656</v>
      </c>
      <c r="M49" s="73">
        <f t="shared" ref="M49:O49" ca="1" si="57">M44-M47+M48</f>
        <v>19743</v>
      </c>
      <c r="N49" s="73">
        <f t="shared" ca="1" si="57"/>
        <v>41268</v>
      </c>
      <c r="O49" s="73">
        <f t="shared" ca="1" si="57"/>
        <v>3005</v>
      </c>
      <c r="Q49" s="77" t="s">
        <v>83</v>
      </c>
      <c r="R49" s="72">
        <f t="shared" ca="1" si="47"/>
        <v>803.76</v>
      </c>
      <c r="S49" s="72">
        <f t="shared" ca="1" si="47"/>
        <v>803.76</v>
      </c>
      <c r="T49" s="72">
        <f t="shared" ca="1" si="47"/>
        <v>803.76</v>
      </c>
    </row>
    <row r="50" spans="2:20" x14ac:dyDescent="0.35">
      <c r="B50" s="76" t="s">
        <v>84</v>
      </c>
      <c r="C50" s="82">
        <f t="shared" ca="1" si="43"/>
        <v>4.1898077884459921E-2</v>
      </c>
      <c r="D50" s="82">
        <f ca="1">IFERROR(L50/L$37,0)</f>
        <v>8.597991313789359E-2</v>
      </c>
      <c r="E50" s="82">
        <f t="shared" ca="1" si="44"/>
        <v>3.9353257569185389E-2</v>
      </c>
      <c r="F50" s="82">
        <f t="shared" ca="1" si="44"/>
        <v>3.5714175452679027E-2</v>
      </c>
      <c r="G50" s="82">
        <f t="shared" ca="1" si="45"/>
        <v>6.544965378081696E-3</v>
      </c>
      <c r="K50" s="76" t="s">
        <v>84</v>
      </c>
      <c r="L50" s="70">
        <f ca="1">SUMIF(INDIRECT("'"&amp;L$2&amp;"'!$A$1:$A$500"),$K$50,INDIRECT("'"&amp;L$2&amp;"'!$C$1:$C$500"))</f>
        <v>5068</v>
      </c>
      <c r="M50" s="70">
        <f t="shared" ref="M50:O50" ca="1" si="58">SUMIF(INDIRECT("'"&amp;M$2&amp;"'!$A$1:$A$500"),$K$50,INDIRECT("'"&amp;M$2&amp;"'!$C$1:$C$500"))</f>
        <v>7258</v>
      </c>
      <c r="N50" s="70">
        <f t="shared" ca="1" si="58"/>
        <v>11568</v>
      </c>
      <c r="O50" s="70">
        <f t="shared" ca="1" si="58"/>
        <v>759</v>
      </c>
      <c r="Q50" s="76" t="s">
        <v>84</v>
      </c>
      <c r="R50" s="70">
        <f t="shared" ca="1" si="47"/>
        <v>64.63</v>
      </c>
      <c r="S50" s="70">
        <f t="shared" ca="1" si="47"/>
        <v>64.63</v>
      </c>
      <c r="T50" s="70">
        <f t="shared" ca="1" si="47"/>
        <v>64.63</v>
      </c>
    </row>
    <row r="51" spans="2:20" x14ac:dyDescent="0.35">
      <c r="B51" s="76" t="s">
        <v>82</v>
      </c>
      <c r="C51" s="82">
        <f t="shared" ca="1" si="43"/>
        <v>1.0036026650216297E-3</v>
      </c>
      <c r="D51" s="82">
        <f ca="1">IFERROR(L51/L$37,0)</f>
        <v>6.7861020629750276E-3</v>
      </c>
      <c r="E51" s="82">
        <f t="shared" ca="1" si="44"/>
        <v>-1.0085017784332436E-3</v>
      </c>
      <c r="F51" s="82">
        <f t="shared" ca="1" si="44"/>
        <v>-2.6427501890986553E-3</v>
      </c>
      <c r="G51" s="82">
        <f t="shared" ca="1" si="45"/>
        <v>8.7956056464338992E-4</v>
      </c>
      <c r="K51" s="76" t="s">
        <v>82</v>
      </c>
      <c r="L51" s="78">
        <f ca="1">SUMIF(INDIRECT("'"&amp;L$2&amp;"'!$A$1:$A$500"),$K$52,INDIRECT("'"&amp;L$2&amp;"'!$C$1:$C$500"))-(L49-L50)</f>
        <v>400</v>
      </c>
      <c r="M51" s="78">
        <f t="shared" ref="M51:O51" ca="1" si="59">SUMIF(INDIRECT("'"&amp;M$2&amp;"'!$A$1:$A$500"),$K$52,INDIRECT("'"&amp;M$2&amp;"'!$C$1:$C$500"))-(M49-M50)</f>
        <v>-186</v>
      </c>
      <c r="N51" s="78">
        <f t="shared" ca="1" si="59"/>
        <v>-856</v>
      </c>
      <c r="O51" s="78">
        <f t="shared" ca="1" si="59"/>
        <v>102</v>
      </c>
      <c r="Q51" s="76" t="s">
        <v>82</v>
      </c>
      <c r="R51" s="78">
        <f t="shared" ca="1" si="47"/>
        <v>0</v>
      </c>
      <c r="S51" s="78">
        <f t="shared" ca="1" si="47"/>
        <v>0</v>
      </c>
      <c r="T51" s="78">
        <f t="shared" ca="1" si="47"/>
        <v>0</v>
      </c>
    </row>
    <row r="52" spans="2:20" x14ac:dyDescent="0.35">
      <c r="B52" s="77" t="s">
        <v>85</v>
      </c>
      <c r="C52" s="81">
        <f t="shared" ca="1" si="43"/>
        <v>7.7875555997102788E-2</v>
      </c>
      <c r="D52" s="81">
        <f ca="1">IFERROR(L52/L$37,0)</f>
        <v>0.1355184581976113</v>
      </c>
      <c r="E52" s="81">
        <f t="shared" ca="1" si="44"/>
        <v>6.6685824585755185E-2</v>
      </c>
      <c r="F52" s="81">
        <f t="shared" ca="1" si="44"/>
        <v>8.9050801932665444E-2</v>
      </c>
      <c r="G52" s="81">
        <f t="shared" ca="1" si="45"/>
        <v>2.024713927237921E-2</v>
      </c>
      <c r="K52" s="77" t="s">
        <v>85</v>
      </c>
      <c r="L52" s="73">
        <f ca="1">L49-L50+L51</f>
        <v>7988</v>
      </c>
      <c r="M52" s="73">
        <f t="shared" ref="M52:O52" ca="1" si="60">M49-M50+M51</f>
        <v>12299</v>
      </c>
      <c r="N52" s="73">
        <f t="shared" ca="1" si="60"/>
        <v>28844</v>
      </c>
      <c r="O52" s="73">
        <f t="shared" ca="1" si="60"/>
        <v>2348</v>
      </c>
      <c r="Q52" s="77" t="s">
        <v>85</v>
      </c>
      <c r="R52" s="72">
        <f t="shared" ca="1" si="47"/>
        <v>739.13</v>
      </c>
      <c r="S52" s="72">
        <f t="shared" ca="1" si="47"/>
        <v>739.13</v>
      </c>
      <c r="T52" s="72">
        <f t="shared" ca="1" si="47"/>
        <v>739.13</v>
      </c>
    </row>
    <row r="53" spans="2:20" x14ac:dyDescent="0.35">
      <c r="B53" s="76"/>
      <c r="C53" s="76"/>
      <c r="D53" s="71"/>
      <c r="E53" s="71"/>
      <c r="F53" s="71"/>
      <c r="G53" s="71"/>
      <c r="K53" s="133" t="s">
        <v>787</v>
      </c>
      <c r="L53" s="134">
        <f ca="1">ROUND(SUMIF(INDIRECT("'"&amp;L$2&amp;"'!$A$1:$A$500"),$K$52,INDIRECT("'"&amp;L$2&amp;"'!$C$1:$C$500"))-L52,2)</f>
        <v>0</v>
      </c>
      <c r="M53" s="134">
        <f t="shared" ref="M53:O53" ca="1" si="61">ROUND(SUMIF(INDIRECT("'"&amp;M$2&amp;"'!$A$1:$A$500"),$K$52,INDIRECT("'"&amp;M$2&amp;"'!$C$1:$C$500"))-M52,2)</f>
        <v>0</v>
      </c>
      <c r="N53" s="134">
        <f t="shared" ca="1" si="61"/>
        <v>0</v>
      </c>
      <c r="O53" s="134">
        <f t="shared" ca="1" si="61"/>
        <v>0</v>
      </c>
    </row>
    <row r="55" spans="2:20" ht="12" customHeight="1" x14ac:dyDescent="0.35">
      <c r="B55" s="124" t="s">
        <v>759</v>
      </c>
      <c r="C55" s="124"/>
      <c r="D55" s="124"/>
      <c r="E55" s="124"/>
      <c r="F55" s="124"/>
      <c r="G55" s="124"/>
      <c r="K55" s="124" t="s">
        <v>759</v>
      </c>
      <c r="L55" s="124"/>
      <c r="M55" s="124"/>
      <c r="N55" s="124"/>
      <c r="O55" s="124"/>
    </row>
    <row r="56" spans="2:20" x14ac:dyDescent="0.35">
      <c r="B56" s="77" t="s">
        <v>760</v>
      </c>
      <c r="C56" s="128">
        <f ca="1">IFERROR(AVERAGE(D56:G56),0)</f>
        <v>1.3124775917193561</v>
      </c>
      <c r="D56" s="128">
        <f ca="1">L56</f>
        <v>1.2973605078516539</v>
      </c>
      <c r="E56" s="128">
        <f t="shared" ref="E56:F56" ca="1" si="62">M56</f>
        <v>1.1547009315002845</v>
      </c>
      <c r="F56" s="128">
        <f t="shared" ca="1" si="62"/>
        <v>1.1527996681874741</v>
      </c>
      <c r="G56" s="128">
        <f ca="1">O56</f>
        <v>1.6450492593380113</v>
      </c>
      <c r="K56" s="77" t="s">
        <v>760</v>
      </c>
      <c r="L56" s="135">
        <f ca="1">IFERROR(L11/L23,0)</f>
        <v>1.2973605078516539</v>
      </c>
      <c r="M56" s="135">
        <f t="shared" ref="M56:O56" ca="1" si="63">IFERROR(M11/M23,0)</f>
        <v>1.1547009315002845</v>
      </c>
      <c r="N56" s="135">
        <f t="shared" ca="1" si="63"/>
        <v>1.1527996681874741</v>
      </c>
      <c r="O56" s="135">
        <f t="shared" ca="1" si="63"/>
        <v>1.6450492593380113</v>
      </c>
    </row>
    <row r="57" spans="2:20" x14ac:dyDescent="0.35">
      <c r="B57" s="77" t="s">
        <v>761</v>
      </c>
      <c r="C57" s="128">
        <f ca="1">IFERROR(AVERAGE(D57:G57),0)</f>
        <v>0.7458881023423507</v>
      </c>
      <c r="D57" s="128">
        <f t="shared" ref="D57:D63" ca="1" si="64">L57</f>
        <v>1.0686602071500166</v>
      </c>
      <c r="E57" s="128">
        <f t="shared" ref="E57:F63" ca="1" si="65">M57</f>
        <v>0.72998472459340458</v>
      </c>
      <c r="F57" s="128">
        <f t="shared" ca="1" si="65"/>
        <v>0.64184985483201995</v>
      </c>
      <c r="G57" s="128">
        <f t="shared" ref="G57:G63" ca="1" si="66">O57</f>
        <v>0.5430576227939613</v>
      </c>
      <c r="K57" s="77" t="s">
        <v>761</v>
      </c>
      <c r="L57" s="135">
        <f ca="1">IFERROR(SUM(L6:L8)/L23,0)</f>
        <v>1.0686602071500166</v>
      </c>
      <c r="M57" s="135">
        <f t="shared" ref="M57:O57" ca="1" si="67">IFERROR(SUM(M6:M8)/M23,0)</f>
        <v>0.72998472459340458</v>
      </c>
      <c r="N57" s="135">
        <f t="shared" ca="1" si="67"/>
        <v>0.64184985483201995</v>
      </c>
      <c r="O57" s="135">
        <f t="shared" ca="1" si="67"/>
        <v>0.5430576227939613</v>
      </c>
    </row>
    <row r="58" spans="2:20" x14ac:dyDescent="0.35">
      <c r="B58" s="77" t="s">
        <v>762</v>
      </c>
      <c r="C58" s="130">
        <f ca="1">IFERROR(AVERAGE(D58:G58),0)</f>
        <v>7219.5</v>
      </c>
      <c r="D58" s="130">
        <f t="shared" ca="1" si="64"/>
        <v>3560</v>
      </c>
      <c r="E58" s="130">
        <f t="shared" ca="1" si="65"/>
        <v>5165</v>
      </c>
      <c r="F58" s="130">
        <f t="shared" ca="1" si="65"/>
        <v>11052</v>
      </c>
      <c r="G58" s="130">
        <f t="shared" ca="1" si="66"/>
        <v>9101</v>
      </c>
      <c r="K58" s="77" t="s">
        <v>762</v>
      </c>
      <c r="L58" s="136">
        <f ca="1">L11-L23</f>
        <v>3560</v>
      </c>
      <c r="M58" s="136">
        <f t="shared" ref="M58:O58" ca="1" si="68">M11-M23</f>
        <v>5165</v>
      </c>
      <c r="N58" s="136">
        <f t="shared" ca="1" si="68"/>
        <v>11052</v>
      </c>
      <c r="O58" s="136">
        <f t="shared" ca="1" si="68"/>
        <v>9101</v>
      </c>
    </row>
    <row r="59" spans="2:20" ht="12" customHeight="1" x14ac:dyDescent="0.35">
      <c r="B59" s="124" t="s">
        <v>763</v>
      </c>
      <c r="C59" s="125"/>
      <c r="D59" s="125">
        <f t="shared" si="64"/>
        <v>0</v>
      </c>
      <c r="E59" s="125">
        <f t="shared" si="65"/>
        <v>0</v>
      </c>
      <c r="F59" s="125">
        <f t="shared" si="65"/>
        <v>0</v>
      </c>
      <c r="G59" s="125">
        <f t="shared" si="66"/>
        <v>0</v>
      </c>
      <c r="K59" s="124" t="s">
        <v>763</v>
      </c>
      <c r="L59" s="125"/>
      <c r="M59" s="125"/>
      <c r="N59" s="125"/>
      <c r="O59" s="125"/>
    </row>
    <row r="60" spans="2:20" x14ac:dyDescent="0.35">
      <c r="B60" s="77" t="s">
        <v>764</v>
      </c>
      <c r="C60" s="128">
        <f ca="1">IFERROR(AVERAGE(D60:G60),0)</f>
        <v>15.482208022490235</v>
      </c>
      <c r="D60" s="128">
        <f t="shared" ca="1" si="64"/>
        <v>23.868549701249322</v>
      </c>
      <c r="E60" s="128">
        <f t="shared" ca="1" si="65"/>
        <v>13.584562150652117</v>
      </c>
      <c r="F60" s="128">
        <f t="shared" ca="1" si="65"/>
        <v>10.067434672660859</v>
      </c>
      <c r="G60" s="128">
        <f t="shared" ca="1" si="66"/>
        <v>14.408285565398645</v>
      </c>
      <c r="K60" s="77" t="s">
        <v>764</v>
      </c>
      <c r="L60" s="135">
        <f ca="1">IFERROR(L38/AVERAGE(L9,SUMIF(INDIRECT("'"&amp;L$2&amp;"'!$A$1:$A$500"),$K$9,INDIRECT("'"&amp;L$2&amp;"'!$B$1:$B$500"))),0)</f>
        <v>23.868549701249322</v>
      </c>
      <c r="M60" s="135">
        <f t="shared" ref="M60:O60" ca="1" si="69">IFERROR(M38/AVERAGE(M9,SUMIF(INDIRECT("'"&amp;M$2&amp;"'!$A$1:$A$500"),$K$9,INDIRECT("'"&amp;M$2&amp;"'!$B$1:$B$500"))),0)</f>
        <v>13.584562150652117</v>
      </c>
      <c r="N60" s="135">
        <f t="shared" ca="1" si="69"/>
        <v>10.067434672660859</v>
      </c>
      <c r="O60" s="135">
        <f t="shared" ca="1" si="69"/>
        <v>14.408285565398645</v>
      </c>
    </row>
    <row r="61" spans="2:20" x14ac:dyDescent="0.35">
      <c r="B61" s="77" t="s">
        <v>765</v>
      </c>
      <c r="C61" s="128">
        <f ca="1">IFERROR(AVERAGE(D61:G61),0)</f>
        <v>1.6353309846142599</v>
      </c>
      <c r="D61" s="128">
        <f t="shared" ca="1" si="64"/>
        <v>0.62580556115894637</v>
      </c>
      <c r="E61" s="128">
        <f t="shared" ca="1" si="65"/>
        <v>0.81685512195338006</v>
      </c>
      <c r="F61" s="128">
        <f t="shared" ca="1" si="65"/>
        <v>1.0564519548462641</v>
      </c>
      <c r="G61" s="128">
        <f t="shared" ca="1" si="66"/>
        <v>4.0422113004984492</v>
      </c>
      <c r="K61" s="77" t="s">
        <v>765</v>
      </c>
      <c r="L61" s="135">
        <f ca="1">IFERROR(L37/L14,0)</f>
        <v>0.62580556115894637</v>
      </c>
      <c r="M61" s="135">
        <f t="shared" ref="M61:O61" ca="1" si="70">IFERROR(M37/M14,0)</f>
        <v>0.81685512195338006</v>
      </c>
      <c r="N61" s="135">
        <f t="shared" ca="1" si="70"/>
        <v>1.0564519548462641</v>
      </c>
      <c r="O61" s="135">
        <f t="shared" ca="1" si="70"/>
        <v>4.0422113004984492</v>
      </c>
    </row>
    <row r="62" spans="2:20" x14ac:dyDescent="0.35">
      <c r="B62" s="77" t="s">
        <v>766</v>
      </c>
      <c r="C62" s="128">
        <f t="shared" ref="C62:C63" ca="1" si="71">IFERROR(AVERAGE(D62:G62),0)</f>
        <v>0.94346790847094353</v>
      </c>
      <c r="D62" s="128">
        <f t="shared" ca="1" si="64"/>
        <v>0.48338923560140729</v>
      </c>
      <c r="E62" s="128">
        <f t="shared" ca="1" si="65"/>
        <v>0.56921348592027454</v>
      </c>
      <c r="F62" s="128">
        <f t="shared" ca="1" si="65"/>
        <v>0.72142411688716646</v>
      </c>
      <c r="G62" s="128">
        <f t="shared" ca="1" si="66"/>
        <v>1.9998447954749259</v>
      </c>
      <c r="K62" s="77" t="s">
        <v>766</v>
      </c>
      <c r="L62" s="135">
        <f ca="1">IFERROR(L37/L18,0)</f>
        <v>0.48338923560140729</v>
      </c>
      <c r="M62" s="135">
        <f t="shared" ref="M62:O62" ca="1" si="72">IFERROR(M37/M18,0)</f>
        <v>0.56921348592027454</v>
      </c>
      <c r="N62" s="135">
        <f t="shared" ca="1" si="72"/>
        <v>0.72142411688716646</v>
      </c>
      <c r="O62" s="135">
        <f t="shared" ca="1" si="72"/>
        <v>1.9998447954749259</v>
      </c>
    </row>
    <row r="63" spans="2:20" x14ac:dyDescent="0.35">
      <c r="B63" s="77" t="s">
        <v>767</v>
      </c>
      <c r="C63" s="129">
        <f t="shared" ca="1" si="71"/>
        <v>30.351684452293885</v>
      </c>
      <c r="D63" s="129">
        <f t="shared" ca="1" si="64"/>
        <v>35.995945304017376</v>
      </c>
      <c r="E63" s="129">
        <f t="shared" ca="1" si="65"/>
        <v>35.771314088661406</v>
      </c>
      <c r="F63" s="129">
        <f t="shared" ca="1" si="65"/>
        <v>40.278970685849245</v>
      </c>
      <c r="G63" s="129">
        <f t="shared" ca="1" si="66"/>
        <v>9.3605077306475106</v>
      </c>
      <c r="K63" s="77" t="s">
        <v>767</v>
      </c>
      <c r="L63" s="137">
        <f ca="1">IFERROR(L8/(L37/365),0)</f>
        <v>35.995945304017376</v>
      </c>
      <c r="M63" s="137">
        <f t="shared" ref="M63:O63" ca="1" si="73">IFERROR(M8/(M37/365),0)</f>
        <v>35.771314088661406</v>
      </c>
      <c r="N63" s="137">
        <f t="shared" ca="1" si="73"/>
        <v>40.278970685849245</v>
      </c>
      <c r="O63" s="137">
        <f t="shared" ca="1" si="73"/>
        <v>9.3605077306475106</v>
      </c>
    </row>
    <row r="64" spans="2:20" x14ac:dyDescent="0.35">
      <c r="B64" t="s">
        <v>768</v>
      </c>
      <c r="C64" s="129">
        <f ca="1">IFERROR(AVERAGE(D64:G64),0)</f>
        <v>26.666694435722302</v>
      </c>
      <c r="D64" s="129">
        <f t="shared" ref="D64:G67" ca="1" si="74">L64</f>
        <v>15.557894497291885</v>
      </c>
      <c r="E64" s="129">
        <f t="shared" ca="1" si="74"/>
        <v>27.779854694223037</v>
      </c>
      <c r="F64" s="129">
        <f t="shared" ca="1" si="74"/>
        <v>38.276902834815203</v>
      </c>
      <c r="G64" s="129">
        <f t="shared" ca="1" si="74"/>
        <v>25.052125716559072</v>
      </c>
      <c r="K64" t="s">
        <v>768</v>
      </c>
      <c r="L64" s="137">
        <f ca="1">IFERROR(L9/(L38/365),0)</f>
        <v>15.557894497291885</v>
      </c>
      <c r="M64" s="137">
        <f t="shared" ref="M64:O64" ca="1" si="75">IFERROR(M9/(M38/365),0)</f>
        <v>27.779854694223037</v>
      </c>
      <c r="N64" s="137">
        <f t="shared" ca="1" si="75"/>
        <v>38.276902834815203</v>
      </c>
      <c r="O64" s="137">
        <f t="shared" ca="1" si="75"/>
        <v>25.052125716559072</v>
      </c>
    </row>
    <row r="65" spans="2:15" x14ac:dyDescent="0.35">
      <c r="B65" t="s">
        <v>769</v>
      </c>
      <c r="C65" s="129">
        <f ca="1">IFERROR(AVERAGE(D65:G65),0)</f>
        <v>48.181354593932298</v>
      </c>
      <c r="D65" s="129">
        <f t="shared" ca="1" si="74"/>
        <v>51.649219425606482</v>
      </c>
      <c r="E65" s="129">
        <f t="shared" ca="1" si="74"/>
        <v>55.153495881435504</v>
      </c>
      <c r="F65" s="129">
        <f t="shared" ca="1" si="74"/>
        <v>52.461564530919823</v>
      </c>
      <c r="G65" s="129">
        <f t="shared" ca="1" si="74"/>
        <v>33.461138537767411</v>
      </c>
      <c r="K65" t="s">
        <v>769</v>
      </c>
      <c r="L65" s="137">
        <f ca="1">IFERROR(L20/(L38/365),0)</f>
        <v>51.649219425606482</v>
      </c>
      <c r="M65" s="137">
        <f t="shared" ref="M65:O65" ca="1" si="76">IFERROR(M20/(M38/365),0)</f>
        <v>55.153495881435504</v>
      </c>
      <c r="N65" s="137">
        <f t="shared" ca="1" si="76"/>
        <v>52.461564530919823</v>
      </c>
      <c r="O65" s="137">
        <f t="shared" ca="1" si="76"/>
        <v>33.461138537767411</v>
      </c>
    </row>
    <row r="66" spans="2:15" x14ac:dyDescent="0.35">
      <c r="B66" t="s">
        <v>770</v>
      </c>
      <c r="C66" s="129">
        <f ca="1">IFERROR(AVERAGE(D66:G66),0)</f>
        <v>57.018378888016187</v>
      </c>
      <c r="D66" s="129">
        <f t="shared" ca="1" si="74"/>
        <v>51.553839801309259</v>
      </c>
      <c r="E66" s="129">
        <f t="shared" ca="1" si="74"/>
        <v>63.551168782884446</v>
      </c>
      <c r="F66" s="129">
        <f t="shared" ca="1" si="74"/>
        <v>78.555873520664449</v>
      </c>
      <c r="G66" s="129">
        <f t="shared" ca="1" si="74"/>
        <v>34.412633447206581</v>
      </c>
      <c r="K66" t="s">
        <v>770</v>
      </c>
      <c r="L66" s="137">
        <f ca="1">L63+L64</f>
        <v>51.553839801309259</v>
      </c>
      <c r="M66" s="137">
        <f t="shared" ref="M66:O66" ca="1" si="77">M63+M64</f>
        <v>63.551168782884446</v>
      </c>
      <c r="N66" s="137">
        <f t="shared" ca="1" si="77"/>
        <v>78.555873520664449</v>
      </c>
      <c r="O66" s="137">
        <f t="shared" ca="1" si="77"/>
        <v>34.412633447206581</v>
      </c>
    </row>
    <row r="67" spans="2:15" x14ac:dyDescent="0.35">
      <c r="B67" t="s">
        <v>771</v>
      </c>
      <c r="C67" s="129">
        <f ca="1">IFERROR(AVERAGE(D67:G67),0)</f>
        <v>8.8370242940838786</v>
      </c>
      <c r="D67" s="129">
        <f t="shared" ca="1" si="74"/>
        <v>-9.5379624297223131E-2</v>
      </c>
      <c r="E67" s="129">
        <f t="shared" ca="1" si="74"/>
        <v>8.3976729014489422</v>
      </c>
      <c r="F67" s="129">
        <f t="shared" ca="1" si="74"/>
        <v>26.094308989744626</v>
      </c>
      <c r="G67" s="129">
        <f t="shared" ca="1" si="74"/>
        <v>0.95149490943916959</v>
      </c>
      <c r="K67" t="s">
        <v>771</v>
      </c>
      <c r="L67" s="137">
        <f ca="1">L63+L64-L65</f>
        <v>-9.5379624297223131E-2</v>
      </c>
      <c r="M67" s="137">
        <f t="shared" ref="M67:O67" ca="1" si="78">M63+M64-M65</f>
        <v>8.3976729014489422</v>
      </c>
      <c r="N67" s="137">
        <f t="shared" ca="1" si="78"/>
        <v>26.094308989744626</v>
      </c>
      <c r="O67" s="137">
        <f t="shared" ca="1" si="78"/>
        <v>0.95149490943916959</v>
      </c>
    </row>
    <row r="68" spans="2:15" ht="12" customHeight="1" x14ac:dyDescent="0.35">
      <c r="B68" s="126" t="s">
        <v>772</v>
      </c>
      <c r="C68" s="126"/>
      <c r="D68" s="126"/>
      <c r="E68" s="126"/>
      <c r="F68" s="126"/>
      <c r="G68" s="126"/>
      <c r="K68" s="126" t="s">
        <v>772</v>
      </c>
      <c r="L68" s="126"/>
      <c r="M68" s="126"/>
      <c r="N68" s="126"/>
      <c r="O68" s="126"/>
    </row>
    <row r="69" spans="2:15" x14ac:dyDescent="0.35">
      <c r="B69" t="s">
        <v>773</v>
      </c>
      <c r="C69" s="127">
        <f ca="1">IFERROR(AVERAGE(D69:G69),0)</f>
        <v>0.45634741872886392</v>
      </c>
      <c r="D69" s="127">
        <f t="shared" ref="D69:G70" ca="1" si="79">L69</f>
        <v>0.47115360959168107</v>
      </c>
      <c r="E69" s="127">
        <f t="shared" ca="1" si="79"/>
        <v>0.40688616470994904</v>
      </c>
      <c r="F69" s="127">
        <f t="shared" ca="1" si="79"/>
        <v>0.40615172168025304</v>
      </c>
      <c r="G69" s="127">
        <f t="shared" ca="1" si="79"/>
        <v>0.54119817893357247</v>
      </c>
      <c r="K69" t="s">
        <v>773</v>
      </c>
      <c r="L69" s="138">
        <f ca="1">IFERROR(L28/L18,0)</f>
        <v>0.47115360959168107</v>
      </c>
      <c r="M69" s="138">
        <f t="shared" ref="M69:O69" ca="1" si="80">IFERROR(M28/M18,0)</f>
        <v>0.40688616470994904</v>
      </c>
      <c r="N69" s="138">
        <f t="shared" ca="1" si="80"/>
        <v>0.40615172168025304</v>
      </c>
      <c r="O69" s="138">
        <f t="shared" ca="1" si="80"/>
        <v>0.54119817893357247</v>
      </c>
    </row>
    <row r="70" spans="2:15" x14ac:dyDescent="0.35">
      <c r="B70" t="s">
        <v>774</v>
      </c>
      <c r="C70" s="128">
        <f ca="1">IFERROR(AVERAGE(D70:G70),0)</f>
        <v>28.336329425814043</v>
      </c>
      <c r="D70" s="128">
        <f t="shared" ca="1" si="79"/>
        <v>21.922794117647058</v>
      </c>
      <c r="E70" s="128">
        <f t="shared" ca="1" si="79"/>
        <v>19.551041666666666</v>
      </c>
      <c r="F70" s="128">
        <f t="shared" ca="1" si="79"/>
        <v>64.11608623548922</v>
      </c>
      <c r="G70" s="128">
        <f t="shared" ca="1" si="79"/>
        <v>7.7553956834532372</v>
      </c>
      <c r="K70" t="s">
        <v>774</v>
      </c>
      <c r="L70" s="135">
        <f ca="1">IFERROR(L44/L47,0)</f>
        <v>21.922794117647058</v>
      </c>
      <c r="M70" s="135">
        <f t="shared" ref="M70:O70" ca="1" si="81">IFERROR(M44/M47,0)</f>
        <v>19.551041666666666</v>
      </c>
      <c r="N70" s="135">
        <f t="shared" ca="1" si="81"/>
        <v>64.11608623548922</v>
      </c>
      <c r="O70" s="135">
        <f t="shared" ca="1" si="81"/>
        <v>7.7553956834532372</v>
      </c>
    </row>
    <row r="71" spans="2:15" ht="12" customHeight="1" x14ac:dyDescent="0.35">
      <c r="B71" s="126" t="s">
        <v>775</v>
      </c>
      <c r="C71" s="126"/>
      <c r="D71" s="126"/>
      <c r="E71" s="126"/>
      <c r="F71" s="126"/>
      <c r="G71" s="126"/>
      <c r="K71" s="126" t="s">
        <v>775</v>
      </c>
      <c r="L71" s="126"/>
      <c r="M71" s="126"/>
      <c r="N71" s="126"/>
      <c r="O71" s="126"/>
    </row>
    <row r="72" spans="2:15" x14ac:dyDescent="0.35">
      <c r="B72" t="s">
        <v>776</v>
      </c>
      <c r="C72" s="127">
        <f t="shared" ref="C72:C78" ca="1" si="82">IFERROR(AVERAGE(D72:G72),0)</f>
        <v>7.7875555997102788E-2</v>
      </c>
      <c r="D72" s="127">
        <f t="shared" ref="D72:G78" ca="1" si="83">L72</f>
        <v>0.1355184581976113</v>
      </c>
      <c r="E72" s="127">
        <f t="shared" ca="1" si="83"/>
        <v>6.6685824585755185E-2</v>
      </c>
      <c r="F72" s="127">
        <f t="shared" ca="1" si="83"/>
        <v>8.9050801932665444E-2</v>
      </c>
      <c r="G72" s="127">
        <f t="shared" ca="1" si="83"/>
        <v>2.024713927237921E-2</v>
      </c>
      <c r="K72" t="s">
        <v>776</v>
      </c>
      <c r="L72" s="138">
        <f ca="1">IFERROR(L52/L37,0)</f>
        <v>0.1355184581976113</v>
      </c>
      <c r="M72" s="138">
        <f ca="1">IFERROR(M52/M37,0)</f>
        <v>6.6685824585755185E-2</v>
      </c>
      <c r="N72" s="138">
        <f ca="1">IFERROR(N52/N37,0)</f>
        <v>8.9050801932665444E-2</v>
      </c>
      <c r="O72" s="138">
        <f ca="1">IFERROR(O52/O37,0)</f>
        <v>2.024713927237921E-2</v>
      </c>
    </row>
    <row r="73" spans="2:15" x14ac:dyDescent="0.35">
      <c r="B73" t="s">
        <v>777</v>
      </c>
      <c r="C73" s="127">
        <f t="shared" ca="1" si="82"/>
        <v>0.1151598220266053</v>
      </c>
      <c r="D73" s="127">
        <f t="shared" ca="1" si="83"/>
        <v>0.20232763300760043</v>
      </c>
      <c r="E73" s="127">
        <f t="shared" ca="1" si="83"/>
        <v>0.10176650472802984</v>
      </c>
      <c r="F73" s="127">
        <f t="shared" ca="1" si="83"/>
        <v>0.1193621586576311</v>
      </c>
      <c r="G73" s="127">
        <f t="shared" ca="1" si="83"/>
        <v>3.718299171315978E-2</v>
      </c>
      <c r="K73" t="s">
        <v>777</v>
      </c>
      <c r="L73" s="138">
        <f ca="1">IFERROR(L44/L37,0)</f>
        <v>0.20232763300760043</v>
      </c>
      <c r="M73" s="138">
        <f ca="1">IFERROR(M44/M37,0)</f>
        <v>0.10176650472802984</v>
      </c>
      <c r="N73" s="138">
        <f ca="1">IFERROR(N44/N37,0)</f>
        <v>0.1193621586576311</v>
      </c>
      <c r="O73" s="138">
        <f ca="1">IFERROR(O44/O37,0)</f>
        <v>3.718299171315978E-2</v>
      </c>
    </row>
    <row r="74" spans="2:15" x14ac:dyDescent="0.35">
      <c r="B74" t="s">
        <v>778</v>
      </c>
      <c r="C74" s="127">
        <f t="shared" ca="1" si="82"/>
        <v>5.2050291707860234E-2</v>
      </c>
      <c r="D74" s="127">
        <f t="shared" ca="1" si="83"/>
        <v>6.5508163918024581E-2</v>
      </c>
      <c r="E74" s="127">
        <f t="shared" ca="1" si="83"/>
        <v>3.7958470673925659E-2</v>
      </c>
      <c r="F74" s="127">
        <f t="shared" ca="1" si="83"/>
        <v>6.424339614236714E-2</v>
      </c>
      <c r="G74" s="127">
        <f t="shared" ca="1" si="83"/>
        <v>4.0491136097123542E-2</v>
      </c>
      <c r="K74" t="s">
        <v>778</v>
      </c>
      <c r="L74" s="138">
        <f ca="1">IFERROR(L52/L18,0)</f>
        <v>6.5508163918024581E-2</v>
      </c>
      <c r="M74" s="138">
        <f ca="1">IFERROR(M52/M18,0)</f>
        <v>3.7958470673925659E-2</v>
      </c>
      <c r="N74" s="138">
        <f ca="1">IFERROR(N52/N18,0)</f>
        <v>6.424339614236714E-2</v>
      </c>
      <c r="O74" s="138">
        <f ca="1">IFERROR(O52/O18,0)</f>
        <v>4.0491136097123542E-2</v>
      </c>
    </row>
    <row r="75" spans="2:15" x14ac:dyDescent="0.35">
      <c r="B75" t="s">
        <v>63</v>
      </c>
      <c r="C75" s="127">
        <f t="shared" ca="1" si="82"/>
        <v>9.6076034696836177E-2</v>
      </c>
      <c r="D75" s="127">
        <f t="shared" ca="1" si="83"/>
        <v>0.12386992727216338</v>
      </c>
      <c r="E75" s="127">
        <f t="shared" ca="1" si="83"/>
        <v>6.3998626259262337E-2</v>
      </c>
      <c r="F75" s="127">
        <f t="shared" ca="1" si="83"/>
        <v>0.10818149767839595</v>
      </c>
      <c r="G75" s="127">
        <f t="shared" ca="1" si="83"/>
        <v>8.8254087577523024E-2</v>
      </c>
      <c r="K75" t="s">
        <v>63</v>
      </c>
      <c r="L75" s="138">
        <f ca="1">IFERROR(L52/L32,0)</f>
        <v>0.12386992727216338</v>
      </c>
      <c r="M75" s="138">
        <f ca="1">IFERROR(M52/M32,0)</f>
        <v>6.3998626259262337E-2</v>
      </c>
      <c r="N75" s="138">
        <f ca="1">IFERROR(N52/N32,0)</f>
        <v>0.10818149767839595</v>
      </c>
      <c r="O75" s="138">
        <f ca="1">IFERROR(O52/O32,0)</f>
        <v>8.8254087577523024E-2</v>
      </c>
    </row>
    <row r="76" spans="2:15" x14ac:dyDescent="0.35">
      <c r="B76" t="s">
        <v>779</v>
      </c>
      <c r="C76" s="127">
        <f t="shared" ca="1" si="82"/>
        <v>7.7132119525066253E-2</v>
      </c>
      <c r="D76" s="127">
        <f t="shared" ca="1" si="83"/>
        <v>8.1317430813359987E-2</v>
      </c>
      <c r="E76" s="127">
        <f t="shared" ca="1" si="83"/>
        <v>5.0954629829998842E-2</v>
      </c>
      <c r="F76" s="127">
        <f t="shared" ca="1" si="83"/>
        <v>8.9675738289403645E-2</v>
      </c>
      <c r="G76" s="127">
        <f t="shared" ca="1" si="83"/>
        <v>8.6580679167502547E-2</v>
      </c>
      <c r="K76" t="s">
        <v>779</v>
      </c>
      <c r="L76" s="138">
        <f ca="1">IFERROR((L44*(1-IFERROR(L50/L49,0)))/(L21+L25+L32),0)</f>
        <v>8.1317430813359987E-2</v>
      </c>
      <c r="M76" s="138">
        <f ca="1">IFERROR((M44*(1-IFERROR(M50/M49,0)))/(M21+M25+M32),0)</f>
        <v>5.0954629829998842E-2</v>
      </c>
      <c r="N76" s="138">
        <f ca="1">IFERROR((N44*(1-IFERROR(N50/N49,0)))/(N21+N25+N32),0)</f>
        <v>8.9675738289403645E-2</v>
      </c>
      <c r="O76" s="138">
        <f ca="1">IFERROR((O44*(1-IFERROR(O50/O49,0)))/(O21+O25+O32),0)</f>
        <v>8.6580679167502547E-2</v>
      </c>
    </row>
    <row r="77" spans="2:15" x14ac:dyDescent="0.35">
      <c r="B77" t="s">
        <v>780</v>
      </c>
      <c r="C77" s="127">
        <f t="shared" ca="1" si="82"/>
        <v>6.7278452266502836E-2</v>
      </c>
      <c r="D77" s="127">
        <f t="shared" ca="1" si="83"/>
        <v>6.9105276977380475E-2</v>
      </c>
      <c r="E77" s="127">
        <f t="shared" ca="1" si="83"/>
        <v>4.1743686060031759E-2</v>
      </c>
      <c r="F77" s="127">
        <f t="shared" ca="1" si="83"/>
        <v>7.6029659344638137E-2</v>
      </c>
      <c r="G77" s="127">
        <f t="shared" ca="1" si="83"/>
        <v>8.2235186683960987E-2</v>
      </c>
      <c r="K77" t="s">
        <v>780</v>
      </c>
      <c r="L77" s="138">
        <f ca="1">IFERROR((L44*(1-IFERROR(L50/L49,0)))/(L17+(L11-L6-L23)),0)</f>
        <v>6.9105276977380475E-2</v>
      </c>
      <c r="M77" s="138">
        <f ca="1">IFERROR((M44*(1-IFERROR(M50/M49,0)))/(M17+(M11-M6-M23)),0)</f>
        <v>4.1743686060031759E-2</v>
      </c>
      <c r="N77" s="138">
        <f ca="1">IFERROR((N44*(1-IFERROR(N50/N49,0)))/(N17+(N11-N6-N23)),0)</f>
        <v>7.6029659344638137E-2</v>
      </c>
      <c r="O77" s="138">
        <f ca="1">IFERROR((O44*(1-IFERROR(O50/O49,0)))/(O17+(O11-O6-O23)),0)</f>
        <v>8.2235186683960987E-2</v>
      </c>
    </row>
    <row r="78" spans="2:15" x14ac:dyDescent="0.35">
      <c r="B78" t="s">
        <v>781</v>
      </c>
      <c r="C78" s="127">
        <f t="shared" ca="1" si="82"/>
        <v>6.3296274438616545E-2</v>
      </c>
      <c r="D78" s="127">
        <f t="shared" ca="1" si="83"/>
        <v>6.5022443177039993E-2</v>
      </c>
      <c r="E78" s="127">
        <f t="shared" ca="1" si="83"/>
        <v>4.0839796111211871E-2</v>
      </c>
      <c r="F78" s="127">
        <f t="shared" ca="1" si="83"/>
        <v>7.3873618480546591E-2</v>
      </c>
      <c r="G78" s="127">
        <f t="shared" ca="1" si="83"/>
        <v>7.3449239985667741E-2</v>
      </c>
      <c r="K78" t="s">
        <v>781</v>
      </c>
      <c r="L78" s="138">
        <f ca="1">IFERROR((L44*(1-IFERROR(L50/L49,0)))/(L18-L23),0)</f>
        <v>6.5022443177039993E-2</v>
      </c>
      <c r="M78" s="138">
        <f ca="1">IFERROR((M44*(1-IFERROR(M50/M49,0)))/(M18-M23),0)</f>
        <v>4.0839796111211871E-2</v>
      </c>
      <c r="N78" s="138">
        <f ca="1">IFERROR((N44*(1-IFERROR(N50/N49,0)))/(N18-N23),0)</f>
        <v>7.3873618480546591E-2</v>
      </c>
      <c r="O78" s="138">
        <f ca="1">IFERROR((O44*(1-IFERROR(O50/O49,0)))/(O18-O23),0)</f>
        <v>7.3449239985667741E-2</v>
      </c>
    </row>
  </sheetData>
  <conditionalFormatting sqref="C34:G34">
    <cfRule type="expression" dxfId="53" priority="2">
      <formula>ABS(C34)&gt;0.1</formula>
    </cfRule>
  </conditionalFormatting>
  <conditionalFormatting sqref="L12:O12">
    <cfRule type="expression" dxfId="52" priority="4">
      <formula>ABS(L12)&gt;0.01</formula>
    </cfRule>
  </conditionalFormatting>
  <conditionalFormatting sqref="L19:O19">
    <cfRule type="expression" dxfId="51" priority="5">
      <formula>ABS(L19)&gt;0.01</formula>
    </cfRule>
  </conditionalFormatting>
  <conditionalFormatting sqref="L24:O24">
    <cfRule type="expression" dxfId="50" priority="6">
      <formula>ABS(L24)&gt;0.01</formula>
    </cfRule>
  </conditionalFormatting>
  <conditionalFormatting sqref="L29:O29">
    <cfRule type="expression" dxfId="49" priority="7">
      <formula>ABS(L29)&gt;0.01</formula>
    </cfRule>
  </conditionalFormatting>
  <conditionalFormatting sqref="L34:O34">
    <cfRule type="expression" dxfId="48" priority="8">
      <formula>ABS(L34)&gt;0.01</formula>
    </cfRule>
  </conditionalFormatting>
  <conditionalFormatting sqref="L53:O53">
    <cfRule type="expression" dxfId="47" priority="9">
      <formula>ABS(L53)&gt;0.01</formula>
    </cfRule>
  </conditionalFormatting>
  <conditionalFormatting sqref="R34:T34">
    <cfRule type="expression" dxfId="46" priority="1">
      <formula>ABS(R34)&gt;0.1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0"/>
  <sheetViews>
    <sheetView topLeftCell="A202" workbookViewId="0">
      <selection activeCell="A210" sqref="A210"/>
    </sheetView>
  </sheetViews>
  <sheetFormatPr defaultRowHeight="14.5" x14ac:dyDescent="0.35"/>
  <cols>
    <col min="1" max="1" width="90.81640625" style="11" customWidth="1"/>
    <col min="2" max="2" width="19.90625" style="11" customWidth="1"/>
    <col min="3" max="3" width="9.6328125" style="11" customWidth="1"/>
    <col min="4" max="16384" width="8.7265625" style="11"/>
  </cols>
  <sheetData>
    <row r="1" spans="1:3" x14ac:dyDescent="0.35">
      <c r="A1" s="34" t="s">
        <v>94</v>
      </c>
      <c r="B1" s="35"/>
      <c r="C1" s="35"/>
    </row>
    <row r="2" spans="1:3" x14ac:dyDescent="0.35">
      <c r="A2" s="36" t="s">
        <v>95</v>
      </c>
      <c r="B2" s="37" t="s">
        <v>96</v>
      </c>
      <c r="C2"/>
    </row>
    <row r="3" spans="1:3" x14ac:dyDescent="0.35">
      <c r="A3" s="36" t="s">
        <v>97</v>
      </c>
      <c r="B3" s="36" t="s">
        <v>98</v>
      </c>
      <c r="C3"/>
    </row>
    <row r="4" spans="1:3" x14ac:dyDescent="0.35">
      <c r="A4" s="36" t="s">
        <v>99</v>
      </c>
      <c r="B4" s="36" t="s">
        <v>98</v>
      </c>
      <c r="C4"/>
    </row>
    <row r="5" spans="1:3" x14ac:dyDescent="0.35">
      <c r="A5" s="36" t="s">
        <v>100</v>
      </c>
      <c r="B5" s="36" t="s">
        <v>2</v>
      </c>
      <c r="C5"/>
    </row>
    <row r="6" spans="1:3" x14ac:dyDescent="0.35">
      <c r="A6" s="36" t="s">
        <v>101</v>
      </c>
      <c r="B6" s="36" t="s">
        <v>102</v>
      </c>
      <c r="C6"/>
    </row>
    <row r="7" spans="1:3" x14ac:dyDescent="0.35">
      <c r="A7" s="36" t="s">
        <v>103</v>
      </c>
      <c r="B7" s="36" t="s">
        <v>104</v>
      </c>
      <c r="C7"/>
    </row>
    <row r="8" spans="1:3" x14ac:dyDescent="0.35">
      <c r="A8" s="36" t="s">
        <v>105</v>
      </c>
      <c r="B8" s="36" t="s">
        <v>106</v>
      </c>
      <c r="C8"/>
    </row>
    <row r="9" spans="1:3" x14ac:dyDescent="0.35">
      <c r="A9" s="36" t="s">
        <v>107</v>
      </c>
      <c r="B9" s="36" t="s">
        <v>108</v>
      </c>
      <c r="C9"/>
    </row>
    <row r="10" spans="1:3" x14ac:dyDescent="0.35">
      <c r="A10" s="36" t="s">
        <v>109</v>
      </c>
      <c r="B10" s="38">
        <v>46295.613891330999</v>
      </c>
      <c r="C10"/>
    </row>
    <row r="11" spans="1:3" x14ac:dyDescent="0.35">
      <c r="A11" s="39" t="s">
        <v>110</v>
      </c>
      <c r="B11" s="40" t="s">
        <v>111</v>
      </c>
      <c r="C11" s="40" t="s">
        <v>112</v>
      </c>
    </row>
    <row r="12" spans="1:3" x14ac:dyDescent="0.35">
      <c r="A12" s="41" t="s">
        <v>113</v>
      </c>
      <c r="B12" s="42">
        <v>45657</v>
      </c>
      <c r="C12" s="42">
        <v>46022</v>
      </c>
    </row>
    <row r="13" spans="1:3" x14ac:dyDescent="0.35">
      <c r="A13" s="41" t="s">
        <v>114</v>
      </c>
      <c r="B13" s="42" t="s">
        <v>115</v>
      </c>
      <c r="C13" s="42" t="s">
        <v>115</v>
      </c>
    </row>
    <row r="14" spans="1:3" x14ac:dyDescent="0.35">
      <c r="A14" s="43" t="s">
        <v>116</v>
      </c>
      <c r="B14" s="39"/>
      <c r="C14" s="39"/>
    </row>
    <row r="15" spans="1:3" x14ac:dyDescent="0.35">
      <c r="A15" s="43" t="s">
        <v>117</v>
      </c>
      <c r="B15" s="44" t="s">
        <v>118</v>
      </c>
      <c r="C15" s="44" t="s">
        <v>119</v>
      </c>
    </row>
    <row r="16" spans="1:3" x14ac:dyDescent="0.35">
      <c r="A16" s="45" t="s">
        <v>120</v>
      </c>
      <c r="B16" s="46"/>
      <c r="C16" s="46"/>
    </row>
    <row r="17" spans="1:3" x14ac:dyDescent="0.35">
      <c r="A17" s="47" t="s">
        <v>121</v>
      </c>
      <c r="B17" s="48">
        <v>6114</v>
      </c>
      <c r="C17" s="48">
        <v>6981</v>
      </c>
    </row>
    <row r="18" spans="1:3" x14ac:dyDescent="0.35">
      <c r="A18" s="49" t="s">
        <v>12</v>
      </c>
      <c r="B18" s="48">
        <v>5607</v>
      </c>
      <c r="C18" s="48">
        <v>6497</v>
      </c>
    </row>
    <row r="19" spans="1:3" x14ac:dyDescent="0.35">
      <c r="A19" s="49" t="s">
        <v>14</v>
      </c>
      <c r="B19" s="48">
        <v>507</v>
      </c>
      <c r="C19" s="48">
        <v>484</v>
      </c>
    </row>
    <row r="20" spans="1:3" x14ac:dyDescent="0.35">
      <c r="A20" s="47" t="s">
        <v>122</v>
      </c>
      <c r="B20" s="48">
        <v>6695</v>
      </c>
      <c r="C20" s="48">
        <v>5813</v>
      </c>
    </row>
    <row r="21" spans="1:3" x14ac:dyDescent="0.35">
      <c r="A21" s="49" t="s">
        <v>16</v>
      </c>
      <c r="B21" s="48">
        <v>6695</v>
      </c>
      <c r="C21" s="48">
        <v>5813</v>
      </c>
    </row>
    <row r="22" spans="1:3" x14ac:dyDescent="0.35">
      <c r="A22" s="49" t="s">
        <v>123</v>
      </c>
      <c r="B22" s="48">
        <v>6702</v>
      </c>
      <c r="C22" s="48">
        <v>5817</v>
      </c>
    </row>
    <row r="23" spans="1:3" x14ac:dyDescent="0.35">
      <c r="A23" s="49" t="s">
        <v>124</v>
      </c>
      <c r="B23" s="51">
        <v>7</v>
      </c>
      <c r="C23" s="51">
        <v>4</v>
      </c>
    </row>
    <row r="24" spans="1:3" x14ac:dyDescent="0.35">
      <c r="A24" s="47" t="s">
        <v>18</v>
      </c>
      <c r="B24" s="48">
        <v>1809</v>
      </c>
      <c r="C24" s="48">
        <v>1873</v>
      </c>
    </row>
    <row r="25" spans="1:3" x14ac:dyDescent="0.35">
      <c r="A25" s="49" t="s">
        <v>125</v>
      </c>
      <c r="B25" s="48">
        <v>902</v>
      </c>
      <c r="C25" s="48">
        <v>873</v>
      </c>
    </row>
    <row r="26" spans="1:3" x14ac:dyDescent="0.35">
      <c r="A26" s="49" t="s">
        <v>126</v>
      </c>
      <c r="B26" s="48">
        <v>907</v>
      </c>
      <c r="C26" s="48">
        <v>1000</v>
      </c>
    </row>
    <row r="27" spans="1:3" x14ac:dyDescent="0.35">
      <c r="A27" s="47" t="s">
        <v>127</v>
      </c>
      <c r="B27" s="48">
        <v>1029</v>
      </c>
      <c r="C27" s="48">
        <v>865</v>
      </c>
    </row>
    <row r="28" spans="1:3" x14ac:dyDescent="0.35">
      <c r="A28" s="52" t="s">
        <v>22</v>
      </c>
      <c r="B28" s="53">
        <v>15647</v>
      </c>
      <c r="C28" s="53">
        <v>15532</v>
      </c>
    </row>
    <row r="29" spans="1:3" x14ac:dyDescent="0.35">
      <c r="A29" s="45" t="s">
        <v>128</v>
      </c>
      <c r="B29" s="46"/>
      <c r="C29" s="46"/>
    </row>
    <row r="30" spans="1:3" x14ac:dyDescent="0.35">
      <c r="A30" s="47" t="s">
        <v>25</v>
      </c>
      <c r="B30" s="48">
        <v>1145</v>
      </c>
      <c r="C30" s="48">
        <v>1242</v>
      </c>
    </row>
    <row r="31" spans="1:3" x14ac:dyDescent="0.35">
      <c r="A31" s="49" t="s">
        <v>129</v>
      </c>
      <c r="B31" s="48">
        <v>1145</v>
      </c>
      <c r="C31" s="48">
        <v>1242</v>
      </c>
    </row>
    <row r="32" spans="1:3" x14ac:dyDescent="0.35">
      <c r="A32" s="47" t="s">
        <v>130</v>
      </c>
      <c r="B32" s="48">
        <v>8611</v>
      </c>
      <c r="C32" s="48">
        <v>8833</v>
      </c>
    </row>
    <row r="33" spans="1:3" x14ac:dyDescent="0.35">
      <c r="A33" s="47" t="s">
        <v>131</v>
      </c>
      <c r="B33" s="48">
        <v>113</v>
      </c>
      <c r="C33" s="48">
        <v>110</v>
      </c>
    </row>
    <row r="34" spans="1:3" x14ac:dyDescent="0.35">
      <c r="A34" s="49" t="s">
        <v>132</v>
      </c>
      <c r="B34" s="48">
        <v>113</v>
      </c>
      <c r="C34" s="48">
        <v>110</v>
      </c>
    </row>
    <row r="35" spans="1:3" x14ac:dyDescent="0.35">
      <c r="A35" s="47" t="s">
        <v>27</v>
      </c>
      <c r="B35" s="50">
        <v>95373</v>
      </c>
      <c r="C35" s="50">
        <v>94189</v>
      </c>
    </row>
    <row r="36" spans="1:3" x14ac:dyDescent="0.35">
      <c r="A36" s="49" t="s">
        <v>133</v>
      </c>
      <c r="B36" s="50">
        <v>95373</v>
      </c>
      <c r="C36" s="50">
        <v>94189</v>
      </c>
    </row>
    <row r="37" spans="1:3" x14ac:dyDescent="0.35">
      <c r="A37" s="49" t="s">
        <v>134</v>
      </c>
      <c r="B37" s="50">
        <v>176445</v>
      </c>
      <c r="C37" s="50">
        <v>184585</v>
      </c>
    </row>
    <row r="38" spans="1:3" x14ac:dyDescent="0.35">
      <c r="A38" s="49" t="s">
        <v>135</v>
      </c>
      <c r="B38" s="50">
        <v>176445</v>
      </c>
      <c r="C38" s="50">
        <v>184585</v>
      </c>
    </row>
    <row r="39" spans="1:3" x14ac:dyDescent="0.35">
      <c r="A39" s="49" t="s">
        <v>136</v>
      </c>
      <c r="B39" s="48">
        <v>1017</v>
      </c>
      <c r="C39" s="48">
        <v>950</v>
      </c>
    </row>
    <row r="40" spans="1:3" x14ac:dyDescent="0.35">
      <c r="A40" s="49" t="s">
        <v>137</v>
      </c>
      <c r="B40" s="48">
        <v>1017</v>
      </c>
      <c r="C40" s="48">
        <v>950</v>
      </c>
    </row>
    <row r="41" spans="1:3" x14ac:dyDescent="0.35">
      <c r="A41" s="49" t="s">
        <v>138</v>
      </c>
      <c r="B41" s="50">
        <v>175428</v>
      </c>
      <c r="C41" s="50">
        <v>183635</v>
      </c>
    </row>
    <row r="42" spans="1:3" x14ac:dyDescent="0.35">
      <c r="A42" s="49" t="s">
        <v>139</v>
      </c>
      <c r="B42" s="50">
        <v>81072</v>
      </c>
      <c r="C42" s="50">
        <v>90396</v>
      </c>
    </row>
    <row r="43" spans="1:3" x14ac:dyDescent="0.35">
      <c r="A43" s="49" t="s">
        <v>140</v>
      </c>
      <c r="B43" s="50">
        <v>81072</v>
      </c>
      <c r="C43" s="50">
        <v>90396</v>
      </c>
    </row>
    <row r="44" spans="1:3" x14ac:dyDescent="0.35">
      <c r="A44" s="47" t="s">
        <v>141</v>
      </c>
      <c r="B44" s="48">
        <v>1891</v>
      </c>
      <c r="C44" s="48">
        <v>2033</v>
      </c>
    </row>
    <row r="45" spans="1:3" x14ac:dyDescent="0.35">
      <c r="A45" s="49" t="s">
        <v>142</v>
      </c>
      <c r="B45" s="48">
        <v>298</v>
      </c>
      <c r="C45" s="48">
        <v>354</v>
      </c>
    </row>
    <row r="46" spans="1:3" x14ac:dyDescent="0.35">
      <c r="A46" s="49" t="s">
        <v>31</v>
      </c>
      <c r="B46" s="48">
        <v>1593</v>
      </c>
      <c r="C46" s="48">
        <v>1679</v>
      </c>
    </row>
    <row r="47" spans="1:3" x14ac:dyDescent="0.35">
      <c r="A47" s="52" t="s">
        <v>33</v>
      </c>
      <c r="B47" s="53">
        <v>107133</v>
      </c>
      <c r="C47" s="53">
        <v>106407</v>
      </c>
    </row>
    <row r="48" spans="1:3" x14ac:dyDescent="0.35">
      <c r="A48" s="45" t="s">
        <v>35</v>
      </c>
      <c r="B48" s="46"/>
      <c r="C48" s="46"/>
    </row>
    <row r="49" spans="1:3" x14ac:dyDescent="0.35">
      <c r="A49" s="52" t="s">
        <v>35</v>
      </c>
      <c r="B49" s="53">
        <v>122780</v>
      </c>
      <c r="C49" s="53">
        <v>121939</v>
      </c>
    </row>
    <row r="50" spans="1:3" x14ac:dyDescent="0.35">
      <c r="A50" s="45" t="s">
        <v>143</v>
      </c>
      <c r="B50" s="46"/>
      <c r="C50" s="46"/>
    </row>
    <row r="51" spans="1:3" x14ac:dyDescent="0.35">
      <c r="A51" s="47" t="s">
        <v>144</v>
      </c>
      <c r="B51" s="48">
        <v>8300</v>
      </c>
      <c r="C51" s="48">
        <v>8734</v>
      </c>
    </row>
    <row r="52" spans="1:3" x14ac:dyDescent="0.35">
      <c r="A52" s="49" t="s">
        <v>37</v>
      </c>
      <c r="B52" s="48">
        <v>6044</v>
      </c>
      <c r="C52" s="48">
        <v>6218</v>
      </c>
    </row>
    <row r="53" spans="1:3" x14ac:dyDescent="0.35">
      <c r="A53" s="49" t="s">
        <v>145</v>
      </c>
      <c r="B53" s="48">
        <v>2256</v>
      </c>
      <c r="C53" s="48">
        <v>2516</v>
      </c>
    </row>
    <row r="54" spans="1:3" x14ac:dyDescent="0.35">
      <c r="A54" s="47" t="s">
        <v>39</v>
      </c>
      <c r="B54" s="48">
        <v>1035</v>
      </c>
      <c r="C54" s="48">
        <v>1020</v>
      </c>
    </row>
    <row r="55" spans="1:3" x14ac:dyDescent="0.35">
      <c r="A55" s="49" t="s">
        <v>146</v>
      </c>
      <c r="B55" s="48">
        <v>1035</v>
      </c>
      <c r="C55" s="48">
        <v>1020</v>
      </c>
    </row>
    <row r="56" spans="1:3" x14ac:dyDescent="0.35">
      <c r="A56" s="49" t="s">
        <v>147</v>
      </c>
      <c r="B56" s="48">
        <v>743</v>
      </c>
      <c r="C56" s="48">
        <v>714</v>
      </c>
    </row>
    <row r="57" spans="1:3" x14ac:dyDescent="0.35">
      <c r="A57" s="49" t="s">
        <v>148</v>
      </c>
      <c r="B57" s="48">
        <v>292</v>
      </c>
      <c r="C57" s="48">
        <v>306</v>
      </c>
    </row>
    <row r="58" spans="1:3" x14ac:dyDescent="0.35">
      <c r="A58" s="47" t="s">
        <v>149</v>
      </c>
      <c r="B58" s="48">
        <v>2460</v>
      </c>
      <c r="C58" s="48">
        <v>1835</v>
      </c>
    </row>
    <row r="59" spans="1:3" x14ac:dyDescent="0.35">
      <c r="A59" s="47" t="s">
        <v>150</v>
      </c>
      <c r="B59" s="48">
        <v>329</v>
      </c>
      <c r="C59" s="48">
        <v>383</v>
      </c>
    </row>
    <row r="60" spans="1:3" x14ac:dyDescent="0.35">
      <c r="A60" s="52" t="s">
        <v>43</v>
      </c>
      <c r="B60" s="53">
        <v>12124</v>
      </c>
      <c r="C60" s="53">
        <v>11972</v>
      </c>
    </row>
    <row r="61" spans="1:3" x14ac:dyDescent="0.35">
      <c r="A61" s="45" t="s">
        <v>151</v>
      </c>
      <c r="B61" s="46"/>
      <c r="C61" s="46"/>
    </row>
    <row r="62" spans="1:3" x14ac:dyDescent="0.35">
      <c r="A62" s="47" t="s">
        <v>45</v>
      </c>
      <c r="B62" s="50">
        <v>23289</v>
      </c>
      <c r="C62" s="50">
        <v>22424</v>
      </c>
    </row>
    <row r="63" spans="1:3" x14ac:dyDescent="0.35">
      <c r="A63" s="49" t="s">
        <v>152</v>
      </c>
      <c r="B63" s="50">
        <v>22641</v>
      </c>
      <c r="C63" s="50">
        <v>21929</v>
      </c>
    </row>
    <row r="64" spans="1:3" x14ac:dyDescent="0.35">
      <c r="A64" s="49" t="s">
        <v>153</v>
      </c>
      <c r="B64" s="50">
        <v>22641</v>
      </c>
      <c r="C64" s="50">
        <v>21929</v>
      </c>
    </row>
    <row r="65" spans="1:3" x14ac:dyDescent="0.35">
      <c r="A65" s="49" t="s">
        <v>154</v>
      </c>
      <c r="B65" s="48">
        <v>648</v>
      </c>
      <c r="C65" s="48">
        <v>495</v>
      </c>
    </row>
    <row r="66" spans="1:3" x14ac:dyDescent="0.35">
      <c r="A66" s="47" t="s">
        <v>155</v>
      </c>
      <c r="B66" s="50">
        <v>11426</v>
      </c>
      <c r="C66" s="50">
        <v>12237</v>
      </c>
    </row>
    <row r="67" spans="1:3" x14ac:dyDescent="0.35">
      <c r="A67" s="49" t="s">
        <v>156</v>
      </c>
      <c r="B67" s="50">
        <v>11426</v>
      </c>
      <c r="C67" s="50">
        <v>12237</v>
      </c>
    </row>
    <row r="68" spans="1:3" x14ac:dyDescent="0.35">
      <c r="A68" s="47" t="s">
        <v>157</v>
      </c>
      <c r="B68" s="48">
        <v>695</v>
      </c>
      <c r="C68" s="48">
        <v>567</v>
      </c>
    </row>
    <row r="69" spans="1:3" x14ac:dyDescent="0.35">
      <c r="A69" s="47" t="s">
        <v>158</v>
      </c>
      <c r="B69" s="50">
        <v>10450</v>
      </c>
      <c r="C69" s="50">
        <v>10252</v>
      </c>
    </row>
    <row r="70" spans="1:3" x14ac:dyDescent="0.35">
      <c r="A70" s="49" t="s">
        <v>159</v>
      </c>
      <c r="B70" s="48">
        <v>9111</v>
      </c>
      <c r="C70" s="48">
        <v>9183</v>
      </c>
    </row>
    <row r="71" spans="1:3" x14ac:dyDescent="0.35">
      <c r="A71" s="49" t="s">
        <v>160</v>
      </c>
      <c r="B71" s="48">
        <v>1022</v>
      </c>
      <c r="C71" s="48">
        <v>969</v>
      </c>
    </row>
    <row r="72" spans="1:3" x14ac:dyDescent="0.35">
      <c r="A72" s="49" t="s">
        <v>161</v>
      </c>
      <c r="B72" s="48">
        <v>8089</v>
      </c>
      <c r="C72" s="48">
        <v>8214</v>
      </c>
    </row>
    <row r="73" spans="1:3" x14ac:dyDescent="0.35">
      <c r="A73" s="49" t="s">
        <v>47</v>
      </c>
      <c r="B73" s="48">
        <v>1339</v>
      </c>
      <c r="C73" s="48">
        <v>1069</v>
      </c>
    </row>
    <row r="74" spans="1:3" x14ac:dyDescent="0.35">
      <c r="A74" s="47" t="s">
        <v>49</v>
      </c>
      <c r="B74" s="50">
        <v>45860</v>
      </c>
      <c r="C74" s="50">
        <v>45480</v>
      </c>
    </row>
    <row r="75" spans="1:3" x14ac:dyDescent="0.35">
      <c r="A75" s="45" t="s">
        <v>51</v>
      </c>
      <c r="B75" s="46"/>
      <c r="C75" s="46"/>
    </row>
    <row r="76" spans="1:3" x14ac:dyDescent="0.35">
      <c r="A76" s="52" t="s">
        <v>51</v>
      </c>
      <c r="B76" s="53">
        <v>57984</v>
      </c>
      <c r="C76" s="53">
        <v>57452</v>
      </c>
    </row>
    <row r="77" spans="1:3" x14ac:dyDescent="0.35">
      <c r="A77" s="45" t="s">
        <v>162</v>
      </c>
      <c r="B77" s="46"/>
      <c r="C77" s="46"/>
    </row>
    <row r="78" spans="1:3" x14ac:dyDescent="0.35">
      <c r="A78" s="47" t="s">
        <v>163</v>
      </c>
      <c r="B78" s="50">
        <v>64796</v>
      </c>
      <c r="C78" s="50">
        <v>64487</v>
      </c>
    </row>
    <row r="79" spans="1:3" x14ac:dyDescent="0.35">
      <c r="A79" s="49" t="s">
        <v>164</v>
      </c>
      <c r="B79" s="50">
        <v>64796</v>
      </c>
      <c r="C79" s="50">
        <v>64487</v>
      </c>
    </row>
    <row r="80" spans="1:3" x14ac:dyDescent="0.35">
      <c r="A80" s="49" t="s">
        <v>165</v>
      </c>
      <c r="B80" s="50">
        <v>71152</v>
      </c>
      <c r="C80" s="50">
        <v>76217</v>
      </c>
    </row>
    <row r="81" spans="1:3" x14ac:dyDescent="0.35">
      <c r="A81" s="49" t="s">
        <v>166</v>
      </c>
      <c r="B81" s="50">
        <v>77552</v>
      </c>
      <c r="C81" s="50">
        <v>77751</v>
      </c>
    </row>
    <row r="82" spans="1:3" x14ac:dyDescent="0.35">
      <c r="A82" s="49" t="s">
        <v>167</v>
      </c>
      <c r="B82" s="51">
        <v>23</v>
      </c>
      <c r="C82" s="51">
        <v>23</v>
      </c>
    </row>
    <row r="83" spans="1:3" x14ac:dyDescent="0.35">
      <c r="A83" s="49" t="s">
        <v>168</v>
      </c>
      <c r="B83" s="50">
        <v>77529</v>
      </c>
      <c r="C83" s="50">
        <v>77728</v>
      </c>
    </row>
    <row r="84" spans="1:3" x14ac:dyDescent="0.35">
      <c r="A84" s="49" t="s">
        <v>169</v>
      </c>
      <c r="B84" s="50">
        <v>58396</v>
      </c>
      <c r="C84" s="50">
        <v>62953</v>
      </c>
    </row>
    <row r="85" spans="1:3" x14ac:dyDescent="0.35">
      <c r="A85" s="49" t="s">
        <v>170</v>
      </c>
      <c r="B85" s="50">
        <v>64869</v>
      </c>
      <c r="C85" s="50">
        <v>68864</v>
      </c>
    </row>
    <row r="86" spans="1:3" x14ac:dyDescent="0.35">
      <c r="A86" s="49" t="s">
        <v>171</v>
      </c>
      <c r="B86" s="54">
        <v>-6473</v>
      </c>
      <c r="C86" s="54">
        <v>-5911</v>
      </c>
    </row>
    <row r="87" spans="1:3" x14ac:dyDescent="0.35">
      <c r="A87" s="49" t="s">
        <v>172</v>
      </c>
      <c r="B87" s="51">
        <v>3</v>
      </c>
      <c r="C87" s="51">
        <v>8</v>
      </c>
    </row>
    <row r="88" spans="1:3" x14ac:dyDescent="0.35">
      <c r="A88" s="49" t="s">
        <v>173</v>
      </c>
      <c r="B88" s="51">
        <v>18</v>
      </c>
      <c r="C88" s="51">
        <v>18</v>
      </c>
    </row>
    <row r="89" spans="1:3" x14ac:dyDescent="0.35">
      <c r="A89" s="49" t="s">
        <v>174</v>
      </c>
      <c r="B89" s="54">
        <v>-6104</v>
      </c>
      <c r="C89" s="54">
        <v>-5602</v>
      </c>
    </row>
    <row r="90" spans="1:3" x14ac:dyDescent="0.35">
      <c r="A90" s="49" t="s">
        <v>175</v>
      </c>
      <c r="B90" s="54">
        <v>-390</v>
      </c>
      <c r="C90" s="54">
        <v>-335</v>
      </c>
    </row>
    <row r="91" spans="1:3" x14ac:dyDescent="0.35">
      <c r="A91" s="49" t="s">
        <v>53</v>
      </c>
      <c r="B91" s="50">
        <v>64796</v>
      </c>
      <c r="C91" s="50">
        <v>64487</v>
      </c>
    </row>
    <row r="92" spans="1:3" x14ac:dyDescent="0.35">
      <c r="A92" s="45" t="s">
        <v>176</v>
      </c>
      <c r="B92" s="46"/>
      <c r="C92" s="46"/>
    </row>
    <row r="93" spans="1:3" x14ac:dyDescent="0.35">
      <c r="A93" s="52" t="s">
        <v>57</v>
      </c>
      <c r="B93" s="53">
        <v>64796</v>
      </c>
      <c r="C93" s="53">
        <v>64487</v>
      </c>
    </row>
    <row r="94" spans="1:3" x14ac:dyDescent="0.35">
      <c r="A94" s="45" t="s">
        <v>177</v>
      </c>
      <c r="B94" s="46"/>
      <c r="C94" s="46"/>
    </row>
    <row r="95" spans="1:3" x14ac:dyDescent="0.35">
      <c r="A95" s="52" t="s">
        <v>60</v>
      </c>
      <c r="B95" s="53">
        <v>122780</v>
      </c>
      <c r="C95" s="53">
        <v>121939</v>
      </c>
    </row>
    <row r="96" spans="1:3" x14ac:dyDescent="0.35">
      <c r="A96" s="45" t="s">
        <v>178</v>
      </c>
      <c r="B96" s="46"/>
      <c r="C96" s="46"/>
    </row>
    <row r="97" spans="1:3" x14ac:dyDescent="0.35">
      <c r="A97" s="47" t="s">
        <v>179</v>
      </c>
      <c r="B97" s="48">
        <v>2250.67</v>
      </c>
      <c r="C97" s="48">
        <v>2253.52</v>
      </c>
    </row>
    <row r="98" spans="1:3" x14ac:dyDescent="0.35">
      <c r="A98" s="49" t="s">
        <v>180</v>
      </c>
      <c r="B98" s="48">
        <v>1275.8699999999999</v>
      </c>
      <c r="C98" s="48">
        <v>1225.17</v>
      </c>
    </row>
    <row r="99" spans="1:3" x14ac:dyDescent="0.35">
      <c r="A99" s="49" t="s">
        <v>181</v>
      </c>
      <c r="B99" s="48">
        <v>974.81</v>
      </c>
      <c r="C99" s="48">
        <v>1028.3499999999999</v>
      </c>
    </row>
    <row r="100" spans="1:3" x14ac:dyDescent="0.35">
      <c r="A100" s="47" t="s">
        <v>182</v>
      </c>
      <c r="B100" s="48">
        <v>2500</v>
      </c>
      <c r="C100" s="48">
        <v>2500</v>
      </c>
    </row>
    <row r="101" spans="1:3" x14ac:dyDescent="0.35">
      <c r="A101" s="47" t="s">
        <v>183</v>
      </c>
      <c r="B101" s="48">
        <v>2250.67</v>
      </c>
      <c r="C101" s="48">
        <v>2253.52</v>
      </c>
    </row>
    <row r="102" spans="1:3" x14ac:dyDescent="0.35">
      <c r="A102" s="49" t="s">
        <v>184</v>
      </c>
      <c r="B102" s="48">
        <v>1275.8699999999999</v>
      </c>
      <c r="C102" s="48">
        <v>1225.17</v>
      </c>
    </row>
    <row r="103" spans="1:3" x14ac:dyDescent="0.35">
      <c r="A103" s="49" t="s">
        <v>185</v>
      </c>
      <c r="B103" s="48">
        <v>974.81</v>
      </c>
      <c r="C103" s="48">
        <v>1028.3499999999999</v>
      </c>
    </row>
    <row r="104" spans="1:3" x14ac:dyDescent="0.35">
      <c r="A104" s="45" t="s">
        <v>186</v>
      </c>
      <c r="B104" s="46"/>
      <c r="C104" s="46"/>
    </row>
    <row r="105" spans="1:3" x14ac:dyDescent="0.35">
      <c r="A105" s="47" t="s">
        <v>187</v>
      </c>
      <c r="B105" s="51">
        <v>1</v>
      </c>
      <c r="C105" s="51">
        <v>1</v>
      </c>
    </row>
    <row r="106" spans="1:3" x14ac:dyDescent="0.35">
      <c r="A106" s="45" t="s">
        <v>188</v>
      </c>
      <c r="B106" s="46"/>
      <c r="C106" s="46"/>
    </row>
    <row r="107" spans="1:3" x14ac:dyDescent="0.35">
      <c r="A107" s="47" t="s">
        <v>189</v>
      </c>
      <c r="B107" s="48">
        <v>1664</v>
      </c>
      <c r="C107" s="48">
        <v>1450</v>
      </c>
    </row>
    <row r="108" spans="1:3" x14ac:dyDescent="0.35">
      <c r="A108" s="49" t="s">
        <v>190</v>
      </c>
      <c r="B108" s="48">
        <v>1017</v>
      </c>
      <c r="C108" s="48">
        <v>950</v>
      </c>
    </row>
    <row r="109" spans="1:3" x14ac:dyDescent="0.35">
      <c r="A109" s="49" t="s">
        <v>191</v>
      </c>
      <c r="B109" s="48">
        <v>647</v>
      </c>
      <c r="C109" s="48">
        <v>500</v>
      </c>
    </row>
    <row r="110" spans="1:3" x14ac:dyDescent="0.35">
      <c r="A110" s="47" t="s">
        <v>192</v>
      </c>
      <c r="B110" s="50">
        <v>93709</v>
      </c>
      <c r="C110" s="50">
        <v>92739</v>
      </c>
    </row>
    <row r="111" spans="1:3" x14ac:dyDescent="0.35">
      <c r="A111" s="45" t="s">
        <v>193</v>
      </c>
      <c r="B111" s="46"/>
      <c r="C111" s="46"/>
    </row>
    <row r="112" spans="1:3" x14ac:dyDescent="0.35">
      <c r="A112" s="47" t="s">
        <v>194</v>
      </c>
      <c r="B112" s="48">
        <v>1024</v>
      </c>
      <c r="C112" s="48">
        <v>950</v>
      </c>
    </row>
    <row r="113" spans="1:3" x14ac:dyDescent="0.35">
      <c r="A113" s="49" t="s">
        <v>195</v>
      </c>
      <c r="B113" s="48">
        <v>329</v>
      </c>
      <c r="C113" s="48">
        <v>383</v>
      </c>
    </row>
    <row r="114" spans="1:3" x14ac:dyDescent="0.35">
      <c r="A114" s="49" t="s">
        <v>196</v>
      </c>
      <c r="B114" s="48">
        <v>695</v>
      </c>
      <c r="C114" s="48">
        <v>567</v>
      </c>
    </row>
    <row r="115" spans="1:3" x14ac:dyDescent="0.35">
      <c r="A115" s="47" t="s">
        <v>197</v>
      </c>
      <c r="B115" s="48">
        <v>1964</v>
      </c>
      <c r="C115" s="48">
        <v>1751</v>
      </c>
    </row>
    <row r="116" spans="1:3" x14ac:dyDescent="0.35">
      <c r="A116" s="47" t="s">
        <v>198</v>
      </c>
      <c r="B116" s="50">
        <v>25348</v>
      </c>
      <c r="C116" s="50">
        <v>24394</v>
      </c>
    </row>
    <row r="117" spans="1:3" x14ac:dyDescent="0.35">
      <c r="A117" s="45" t="s">
        <v>199</v>
      </c>
      <c r="B117" s="46"/>
      <c r="C117" s="46"/>
    </row>
    <row r="118" spans="1:3" x14ac:dyDescent="0.35">
      <c r="A118" s="47" t="s">
        <v>200</v>
      </c>
      <c r="B118" s="48">
        <v>1652</v>
      </c>
      <c r="C118" s="48">
        <v>1726</v>
      </c>
    </row>
    <row r="119" spans="1:3" x14ac:dyDescent="0.35">
      <c r="A119" s="47" t="s">
        <v>201</v>
      </c>
      <c r="B119" s="48">
        <v>6808</v>
      </c>
      <c r="C119" s="48">
        <v>5923</v>
      </c>
    </row>
    <row r="120" spans="1:3" x14ac:dyDescent="0.35">
      <c r="A120" s="49" t="s">
        <v>202</v>
      </c>
      <c r="B120" s="48">
        <v>6702</v>
      </c>
      <c r="C120" s="48">
        <v>5817</v>
      </c>
    </row>
    <row r="121" spans="1:3" x14ac:dyDescent="0.35">
      <c r="A121" s="47" t="s">
        <v>203</v>
      </c>
      <c r="B121" s="48">
        <v>1891</v>
      </c>
      <c r="C121" s="48">
        <v>2033</v>
      </c>
    </row>
    <row r="122" spans="1:3" x14ac:dyDescent="0.35">
      <c r="A122" s="47" t="s">
        <v>204</v>
      </c>
      <c r="B122" s="48">
        <v>2460</v>
      </c>
      <c r="C122" s="48">
        <v>1835</v>
      </c>
    </row>
    <row r="123" spans="1:3" x14ac:dyDescent="0.35">
      <c r="A123" s="47" t="s">
        <v>205</v>
      </c>
      <c r="B123" s="48">
        <v>8300</v>
      </c>
      <c r="C123" s="48">
        <v>8734</v>
      </c>
    </row>
    <row r="124" spans="1:3" x14ac:dyDescent="0.35">
      <c r="A124" s="49" t="s">
        <v>206</v>
      </c>
      <c r="B124" s="48">
        <v>6044</v>
      </c>
      <c r="C124" s="48">
        <v>6218</v>
      </c>
    </row>
    <row r="125" spans="1:3" x14ac:dyDescent="0.35">
      <c r="A125" s="49" t="s">
        <v>207</v>
      </c>
      <c r="B125" s="48">
        <v>2256</v>
      </c>
      <c r="C125" s="48">
        <v>2516</v>
      </c>
    </row>
    <row r="126" spans="1:3" x14ac:dyDescent="0.35">
      <c r="A126" s="45" t="s">
        <v>208</v>
      </c>
      <c r="B126" s="46"/>
      <c r="C126" s="46"/>
    </row>
    <row r="127" spans="1:3" x14ac:dyDescent="0.35">
      <c r="A127" s="47" t="s">
        <v>209</v>
      </c>
      <c r="B127" s="50">
        <v>18210</v>
      </c>
      <c r="C127" s="50">
        <v>16463</v>
      </c>
    </row>
    <row r="128" spans="1:3" x14ac:dyDescent="0.35">
      <c r="A128" s="47" t="s">
        <v>210</v>
      </c>
      <c r="B128" s="50">
        <v>24324</v>
      </c>
      <c r="C128" s="50">
        <v>23444</v>
      </c>
    </row>
    <row r="129" spans="1:3" x14ac:dyDescent="0.35">
      <c r="A129" s="47" t="s">
        <v>211</v>
      </c>
      <c r="B129" s="50">
        <v>0</v>
      </c>
      <c r="C129" s="50">
        <v>0</v>
      </c>
    </row>
    <row r="130" spans="1:3" x14ac:dyDescent="0.35">
      <c r="A130" s="47" t="s">
        <v>212</v>
      </c>
      <c r="B130" s="48">
        <v>5500</v>
      </c>
      <c r="C130" s="48">
        <v>5500</v>
      </c>
    </row>
    <row r="131" spans="1:3" x14ac:dyDescent="0.35">
      <c r="A131" s="47" t="s">
        <v>213</v>
      </c>
      <c r="B131" s="48">
        <v>5500</v>
      </c>
      <c r="C131" s="48">
        <v>5500</v>
      </c>
    </row>
    <row r="132" spans="1:3" x14ac:dyDescent="0.35">
      <c r="A132" s="45" t="s">
        <v>214</v>
      </c>
      <c r="B132" s="46"/>
      <c r="C132" s="46"/>
    </row>
    <row r="133" spans="1:3" x14ac:dyDescent="0.35">
      <c r="A133" s="47" t="s">
        <v>215</v>
      </c>
      <c r="B133" s="48">
        <v>3878</v>
      </c>
      <c r="C133" s="48">
        <v>4760</v>
      </c>
    </row>
    <row r="134" spans="1:3" x14ac:dyDescent="0.35">
      <c r="A134" s="49" t="s">
        <v>216</v>
      </c>
      <c r="B134" s="48">
        <v>735</v>
      </c>
      <c r="C134" s="48">
        <v>713</v>
      </c>
    </row>
    <row r="135" spans="1:3" x14ac:dyDescent="0.35">
      <c r="A135" s="49" t="s">
        <v>217</v>
      </c>
      <c r="B135" s="48">
        <v>704</v>
      </c>
      <c r="C135" s="48">
        <v>786</v>
      </c>
    </row>
    <row r="136" spans="1:3" x14ac:dyDescent="0.35">
      <c r="A136" s="49" t="s">
        <v>218</v>
      </c>
      <c r="B136" s="48">
        <v>778</v>
      </c>
      <c r="C136" s="48">
        <v>670</v>
      </c>
    </row>
    <row r="137" spans="1:3" x14ac:dyDescent="0.35">
      <c r="A137" s="49" t="s">
        <v>219</v>
      </c>
      <c r="B137" s="48">
        <v>664</v>
      </c>
      <c r="C137" s="48">
        <v>992</v>
      </c>
    </row>
    <row r="138" spans="1:3" x14ac:dyDescent="0.35">
      <c r="A138" s="49" t="s">
        <v>220</v>
      </c>
      <c r="B138" s="48">
        <v>997</v>
      </c>
      <c r="C138" s="48">
        <v>1599</v>
      </c>
    </row>
    <row r="139" spans="1:3" x14ac:dyDescent="0.35">
      <c r="A139" s="47" t="s">
        <v>221</v>
      </c>
      <c r="B139" s="48">
        <v>1482</v>
      </c>
      <c r="C139" s="48">
        <v>1456</v>
      </c>
    </row>
    <row r="140" spans="1:3" x14ac:dyDescent="0.35">
      <c r="A140" s="47" t="s">
        <v>222</v>
      </c>
      <c r="B140" s="48">
        <v>1661</v>
      </c>
      <c r="C140" s="48">
        <v>2591</v>
      </c>
    </row>
    <row r="141" spans="1:3" x14ac:dyDescent="0.35">
      <c r="A141" s="45" t="s">
        <v>223</v>
      </c>
      <c r="B141" s="46"/>
      <c r="C141" s="46"/>
    </row>
    <row r="142" spans="1:3" x14ac:dyDescent="0.35">
      <c r="A142" s="47" t="s">
        <v>224</v>
      </c>
      <c r="B142" s="48">
        <v>940</v>
      </c>
      <c r="C142" s="48">
        <v>801</v>
      </c>
    </row>
    <row r="143" spans="1:3" x14ac:dyDescent="0.35">
      <c r="A143" s="49" t="s">
        <v>225</v>
      </c>
      <c r="B143" s="48">
        <v>354</v>
      </c>
      <c r="C143" s="48">
        <v>363</v>
      </c>
    </row>
    <row r="144" spans="1:3" x14ac:dyDescent="0.35">
      <c r="A144" s="49" t="s">
        <v>226</v>
      </c>
      <c r="B144" s="48">
        <v>200</v>
      </c>
      <c r="C144" s="48">
        <v>164</v>
      </c>
    </row>
    <row r="145" spans="1:3" x14ac:dyDescent="0.35">
      <c r="A145" s="49" t="s">
        <v>227</v>
      </c>
      <c r="B145" s="48">
        <v>159</v>
      </c>
      <c r="C145" s="48">
        <v>181</v>
      </c>
    </row>
    <row r="146" spans="1:3" x14ac:dyDescent="0.35">
      <c r="A146" s="49" t="s">
        <v>228</v>
      </c>
      <c r="B146" s="48">
        <v>177</v>
      </c>
      <c r="C146" s="51">
        <v>91</v>
      </c>
    </row>
    <row r="147" spans="1:3" x14ac:dyDescent="0.35">
      <c r="A147" s="49" t="s">
        <v>229</v>
      </c>
      <c r="B147" s="51">
        <v>88</v>
      </c>
      <c r="C147" s="51">
        <v>57</v>
      </c>
    </row>
    <row r="148" spans="1:3" x14ac:dyDescent="0.35">
      <c r="A148" s="49" t="s">
        <v>230</v>
      </c>
      <c r="B148" s="51">
        <v>84</v>
      </c>
      <c r="C148" s="51">
        <v>48</v>
      </c>
    </row>
    <row r="149" spans="1:3" x14ac:dyDescent="0.35">
      <c r="A149" s="49" t="s">
        <v>231</v>
      </c>
      <c r="B149" s="48">
        <v>122</v>
      </c>
      <c r="C149" s="48">
        <v>103</v>
      </c>
    </row>
    <row r="150" spans="1:3" x14ac:dyDescent="0.35">
      <c r="A150" s="47" t="s">
        <v>232</v>
      </c>
      <c r="B150" s="48">
        <v>359</v>
      </c>
      <c r="C150" s="48">
        <v>345</v>
      </c>
    </row>
    <row r="151" spans="1:3" x14ac:dyDescent="0.35">
      <c r="A151" s="47" t="s">
        <v>233</v>
      </c>
      <c r="B151" s="48">
        <v>265</v>
      </c>
      <c r="C151" s="48">
        <v>148</v>
      </c>
    </row>
    <row r="152" spans="1:3" x14ac:dyDescent="0.35">
      <c r="A152" s="47" t="s">
        <v>234</v>
      </c>
      <c r="B152" s="51">
        <v>84</v>
      </c>
      <c r="C152" s="51">
        <v>48</v>
      </c>
    </row>
    <row r="153" spans="1:3" x14ac:dyDescent="0.35">
      <c r="A153" s="45" t="s">
        <v>235</v>
      </c>
      <c r="B153" s="46"/>
      <c r="C153" s="46"/>
    </row>
    <row r="154" spans="1:3" x14ac:dyDescent="0.35">
      <c r="A154" s="47" t="s">
        <v>236</v>
      </c>
      <c r="B154" s="51">
        <v>4.41</v>
      </c>
      <c r="C154" s="51">
        <v>4.0599999999999996</v>
      </c>
    </row>
    <row r="155" spans="1:3" x14ac:dyDescent="0.35">
      <c r="A155" s="47" t="s">
        <v>237</v>
      </c>
      <c r="B155" s="51">
        <v>4.8600000000000003</v>
      </c>
      <c r="C155" s="51">
        <v>4.18</v>
      </c>
    </row>
    <row r="156" spans="1:3" x14ac:dyDescent="0.35">
      <c r="A156" s="47" t="s">
        <v>238</v>
      </c>
      <c r="B156" s="56">
        <v>0</v>
      </c>
      <c r="C156" s="56">
        <v>0</v>
      </c>
    </row>
    <row r="157" spans="1:3" x14ac:dyDescent="0.35">
      <c r="A157" s="47" t="s">
        <v>239</v>
      </c>
      <c r="B157" s="56">
        <v>0</v>
      </c>
      <c r="C157" s="56">
        <v>0</v>
      </c>
    </row>
    <row r="158" spans="1:3" x14ac:dyDescent="0.35">
      <c r="A158" s="45" t="s">
        <v>82</v>
      </c>
      <c r="B158" s="46"/>
      <c r="C158" s="46"/>
    </row>
    <row r="159" spans="1:3" x14ac:dyDescent="0.35">
      <c r="A159" s="47" t="s">
        <v>240</v>
      </c>
      <c r="B159" s="54">
        <v>-2084</v>
      </c>
      <c r="C159" s="54">
        <v>-2937</v>
      </c>
    </row>
    <row r="160" spans="1:3" x14ac:dyDescent="0.35">
      <c r="A160" s="47" t="s">
        <v>241</v>
      </c>
      <c r="B160" s="50">
        <v>117060</v>
      </c>
      <c r="C160" s="50">
        <v>115332</v>
      </c>
    </row>
    <row r="161" spans="1:3" x14ac:dyDescent="0.35">
      <c r="A161" s="47" t="s">
        <v>242</v>
      </c>
      <c r="B161" s="48">
        <v>5607</v>
      </c>
      <c r="C161" s="48">
        <v>6497</v>
      </c>
    </row>
    <row r="162" spans="1:3" x14ac:dyDescent="0.35">
      <c r="A162" s="47" t="s">
        <v>243</v>
      </c>
      <c r="B162" s="48">
        <v>6114</v>
      </c>
      <c r="C162" s="48">
        <v>6981</v>
      </c>
    </row>
    <row r="163" spans="1:3" x14ac:dyDescent="0.35">
      <c r="A163" s="47" t="s">
        <v>244</v>
      </c>
      <c r="B163" s="50">
        <v>24324</v>
      </c>
      <c r="C163" s="50">
        <v>23444</v>
      </c>
    </row>
    <row r="164" spans="1:3" x14ac:dyDescent="0.35">
      <c r="A164" s="47" t="s">
        <v>245</v>
      </c>
      <c r="B164" s="48">
        <v>9756</v>
      </c>
      <c r="C164" s="50">
        <v>10075</v>
      </c>
    </row>
    <row r="165" spans="1:3" x14ac:dyDescent="0.35">
      <c r="A165" s="47" t="s">
        <v>246</v>
      </c>
      <c r="B165" s="50">
        <v>83006</v>
      </c>
      <c r="C165" s="50">
        <v>80950</v>
      </c>
    </row>
    <row r="166" spans="1:3" x14ac:dyDescent="0.35">
      <c r="A166" s="47" t="s">
        <v>247</v>
      </c>
      <c r="B166" s="50">
        <v>83006</v>
      </c>
      <c r="C166" s="50">
        <v>80950</v>
      </c>
    </row>
    <row r="167" spans="1:3" x14ac:dyDescent="0.35">
      <c r="A167" s="47" t="s">
        <v>248</v>
      </c>
      <c r="B167" s="50">
        <v>20537</v>
      </c>
      <c r="C167" s="50">
        <v>21420</v>
      </c>
    </row>
    <row r="168" spans="1:3" x14ac:dyDescent="0.35">
      <c r="A168" s="47" t="s">
        <v>249</v>
      </c>
      <c r="B168" s="50">
        <v>64796</v>
      </c>
      <c r="C168" s="50">
        <v>64487</v>
      </c>
    </row>
    <row r="169" spans="1:3" x14ac:dyDescent="0.35">
      <c r="A169" s="47" t="s">
        <v>250</v>
      </c>
      <c r="B169" s="50">
        <v>64796</v>
      </c>
      <c r="C169" s="50">
        <v>64487</v>
      </c>
    </row>
    <row r="170" spans="1:3" x14ac:dyDescent="0.35">
      <c r="A170" s="47" t="s">
        <v>251</v>
      </c>
      <c r="B170" s="50">
        <v>64796</v>
      </c>
      <c r="C170" s="50">
        <v>64487</v>
      </c>
    </row>
    <row r="171" spans="1:3" x14ac:dyDescent="0.35">
      <c r="A171" s="47" t="s">
        <v>252</v>
      </c>
      <c r="B171" s="50">
        <v>89120</v>
      </c>
      <c r="C171" s="50">
        <v>87931</v>
      </c>
    </row>
    <row r="172" spans="1:3" x14ac:dyDescent="0.35">
      <c r="A172" s="47" t="s">
        <v>253</v>
      </c>
      <c r="B172" s="50">
        <v>89120</v>
      </c>
      <c r="C172" s="50">
        <v>87931</v>
      </c>
    </row>
    <row r="173" spans="1:3" x14ac:dyDescent="0.35">
      <c r="A173" s="47" t="s">
        <v>254</v>
      </c>
      <c r="B173" s="50">
        <v>110656</v>
      </c>
      <c r="C173" s="50">
        <v>109967</v>
      </c>
    </row>
    <row r="174" spans="1:3" x14ac:dyDescent="0.35">
      <c r="A174" s="47" t="s">
        <v>255</v>
      </c>
      <c r="B174" s="50">
        <v>107020</v>
      </c>
      <c r="C174" s="50">
        <v>106297</v>
      </c>
    </row>
    <row r="175" spans="1:3" x14ac:dyDescent="0.35">
      <c r="A175" s="47" t="s">
        <v>256</v>
      </c>
      <c r="B175" s="48">
        <v>3523</v>
      </c>
      <c r="C175" s="48">
        <v>3560</v>
      </c>
    </row>
    <row r="176" spans="1:3" x14ac:dyDescent="0.35">
      <c r="A176" s="47" t="s">
        <v>257</v>
      </c>
      <c r="B176" s="54">
        <v>-2591</v>
      </c>
      <c r="C176" s="54">
        <v>-3421</v>
      </c>
    </row>
    <row r="177" spans="1:3" x14ac:dyDescent="0.35">
      <c r="A177" s="47" t="s">
        <v>258</v>
      </c>
      <c r="B177" s="50">
        <v>64796</v>
      </c>
      <c r="C177" s="50">
        <v>64487</v>
      </c>
    </row>
    <row r="178" spans="1:3" x14ac:dyDescent="0.35">
      <c r="A178" s="45" t="s">
        <v>259</v>
      </c>
      <c r="B178" s="46"/>
      <c r="C178" s="46"/>
    </row>
    <row r="179" spans="1:3" x14ac:dyDescent="0.35">
      <c r="A179" s="47" t="s">
        <v>260</v>
      </c>
      <c r="B179" s="50">
        <v>48051</v>
      </c>
      <c r="C179" s="50">
        <v>46054</v>
      </c>
    </row>
    <row r="180" spans="1:3" x14ac:dyDescent="0.35">
      <c r="A180" s="45" t="s">
        <v>261</v>
      </c>
      <c r="B180" s="46"/>
      <c r="C180" s="46"/>
    </row>
    <row r="181" spans="1:3" x14ac:dyDescent="0.35">
      <c r="A181" s="47" t="s">
        <v>262</v>
      </c>
      <c r="B181" s="48">
        <v>1024</v>
      </c>
      <c r="C181" s="48">
        <v>950</v>
      </c>
    </row>
    <row r="182" spans="1:3" x14ac:dyDescent="0.35">
      <c r="A182" s="49" t="s">
        <v>263</v>
      </c>
      <c r="B182" s="48">
        <v>382</v>
      </c>
      <c r="C182" s="48">
        <v>417</v>
      </c>
    </row>
    <row r="183" spans="1:3" x14ac:dyDescent="0.35">
      <c r="A183" s="49" t="s">
        <v>264</v>
      </c>
      <c r="B183" s="48">
        <v>292</v>
      </c>
      <c r="C183" s="48">
        <v>219</v>
      </c>
    </row>
    <row r="184" spans="1:3" x14ac:dyDescent="0.35">
      <c r="A184" s="49" t="s">
        <v>265</v>
      </c>
      <c r="B184" s="48">
        <v>160</v>
      </c>
      <c r="C184" s="48">
        <v>143</v>
      </c>
    </row>
    <row r="185" spans="1:3" x14ac:dyDescent="0.35">
      <c r="A185" s="49" t="s">
        <v>266</v>
      </c>
      <c r="B185" s="51">
        <v>96</v>
      </c>
      <c r="C185" s="48">
        <v>102</v>
      </c>
    </row>
    <row r="186" spans="1:3" x14ac:dyDescent="0.35">
      <c r="A186" s="49" t="s">
        <v>267</v>
      </c>
      <c r="B186" s="51">
        <v>55</v>
      </c>
      <c r="C186" s="51">
        <v>55</v>
      </c>
    </row>
    <row r="187" spans="1:3" x14ac:dyDescent="0.35">
      <c r="A187" s="49" t="s">
        <v>268</v>
      </c>
      <c r="B187" s="48">
        <v>121</v>
      </c>
      <c r="C187" s="48">
        <v>109</v>
      </c>
    </row>
    <row r="188" spans="1:3" x14ac:dyDescent="0.35">
      <c r="A188" s="49" t="s">
        <v>269</v>
      </c>
      <c r="B188" s="51">
        <v>82</v>
      </c>
      <c r="C188" s="51">
        <v>95</v>
      </c>
    </row>
    <row r="189" spans="1:3" x14ac:dyDescent="0.35">
      <c r="A189" s="47" t="s">
        <v>270</v>
      </c>
      <c r="B189" s="48">
        <v>452</v>
      </c>
      <c r="C189" s="48">
        <v>362</v>
      </c>
    </row>
    <row r="190" spans="1:3" x14ac:dyDescent="0.35">
      <c r="A190" s="47" t="s">
        <v>271</v>
      </c>
      <c r="B190" s="48">
        <v>151</v>
      </c>
      <c r="C190" s="48">
        <v>157</v>
      </c>
    </row>
    <row r="191" spans="1:3" x14ac:dyDescent="0.35">
      <c r="A191" s="47" t="s">
        <v>272</v>
      </c>
      <c r="B191" s="48">
        <v>121</v>
      </c>
      <c r="C191" s="48">
        <v>109</v>
      </c>
    </row>
    <row r="192" spans="1:3" x14ac:dyDescent="0.35">
      <c r="A192" s="45" t="s">
        <v>273</v>
      </c>
      <c r="B192" s="46"/>
      <c r="C192" s="46"/>
    </row>
    <row r="193" spans="1:3" x14ac:dyDescent="0.35">
      <c r="A193" s="47" t="s">
        <v>274</v>
      </c>
      <c r="B193" s="50">
        <v>11800</v>
      </c>
      <c r="C193" s="48">
        <v>9900</v>
      </c>
    </row>
    <row r="194" spans="1:3" x14ac:dyDescent="0.35">
      <c r="A194" s="47" t="s">
        <v>275</v>
      </c>
      <c r="B194" s="50">
        <v>11800</v>
      </c>
      <c r="C194" s="48">
        <v>9900</v>
      </c>
    </row>
    <row r="195" spans="1:3" x14ac:dyDescent="0.35">
      <c r="A195"/>
      <c r="B195"/>
      <c r="C195"/>
    </row>
    <row r="196" spans="1:3" x14ac:dyDescent="0.35">
      <c r="A196"/>
      <c r="B196"/>
      <c r="C196"/>
    </row>
    <row r="197" spans="1:3" x14ac:dyDescent="0.35">
      <c r="A197"/>
      <c r="B197"/>
      <c r="C197"/>
    </row>
    <row r="198" spans="1:3" x14ac:dyDescent="0.35">
      <c r="A198"/>
      <c r="B198"/>
      <c r="C198"/>
    </row>
    <row r="199" spans="1:3" x14ac:dyDescent="0.35">
      <c r="A199" s="39" t="s">
        <v>110</v>
      </c>
      <c r="B199" s="40" t="s">
        <v>111</v>
      </c>
      <c r="C199" s="40" t="s">
        <v>112</v>
      </c>
    </row>
    <row r="200" spans="1:3" x14ac:dyDescent="0.35">
      <c r="A200" s="41" t="s">
        <v>113</v>
      </c>
      <c r="B200" s="42">
        <v>45657</v>
      </c>
      <c r="C200" s="42">
        <v>46022</v>
      </c>
    </row>
    <row r="201" spans="1:3" x14ac:dyDescent="0.35">
      <c r="A201" s="41" t="s">
        <v>114</v>
      </c>
      <c r="B201" s="42" t="s">
        <v>115</v>
      </c>
      <c r="C201" s="42" t="s">
        <v>115</v>
      </c>
    </row>
    <row r="202" spans="1:3" x14ac:dyDescent="0.35">
      <c r="A202" s="43" t="s">
        <v>276</v>
      </c>
      <c r="B202" s="39"/>
      <c r="C202" s="39"/>
    </row>
    <row r="203" spans="1:3" x14ac:dyDescent="0.35">
      <c r="A203" s="43" t="s">
        <v>117</v>
      </c>
      <c r="B203" s="44" t="s">
        <v>118</v>
      </c>
      <c r="C203" s="44" t="s">
        <v>119</v>
      </c>
    </row>
    <row r="204" spans="1:3" x14ac:dyDescent="0.35">
      <c r="A204" s="45" t="s">
        <v>277</v>
      </c>
      <c r="B204" s="46"/>
      <c r="C204" s="46"/>
    </row>
    <row r="205" spans="1:3" x14ac:dyDescent="0.35">
      <c r="A205" s="47" t="s">
        <v>278</v>
      </c>
      <c r="B205" s="50">
        <v>54745</v>
      </c>
      <c r="C205" s="50">
        <v>58944</v>
      </c>
    </row>
    <row r="206" spans="1:3" x14ac:dyDescent="0.35">
      <c r="A206" s="49" t="s">
        <v>279</v>
      </c>
      <c r="B206" s="50">
        <v>54745</v>
      </c>
      <c r="C206" s="50">
        <v>58944</v>
      </c>
    </row>
    <row r="207" spans="1:3" x14ac:dyDescent="0.35">
      <c r="A207" s="52" t="s">
        <v>64</v>
      </c>
      <c r="B207" s="53">
        <v>54745</v>
      </c>
      <c r="C207" s="53">
        <v>58944</v>
      </c>
    </row>
    <row r="208" spans="1:3" x14ac:dyDescent="0.35">
      <c r="A208" s="45" t="s">
        <v>280</v>
      </c>
      <c r="B208" s="46"/>
      <c r="C208" s="46"/>
    </row>
    <row r="209" spans="1:3" x14ac:dyDescent="0.35">
      <c r="A209" s="47" t="s">
        <v>281</v>
      </c>
      <c r="B209" s="50">
        <v>38362</v>
      </c>
      <c r="C209" s="50">
        <v>43942</v>
      </c>
    </row>
    <row r="210" spans="1:3" x14ac:dyDescent="0.35">
      <c r="A210" s="49" t="s">
        <v>282</v>
      </c>
      <c r="B210" s="50">
        <v>38362</v>
      </c>
      <c r="C210" s="50">
        <v>43942</v>
      </c>
    </row>
    <row r="211" spans="1:3" x14ac:dyDescent="0.35">
      <c r="A211" s="49" t="s">
        <v>283</v>
      </c>
      <c r="B211" s="50">
        <v>20012</v>
      </c>
      <c r="C211" s="50">
        <v>22325</v>
      </c>
    </row>
    <row r="212" spans="1:3" x14ac:dyDescent="0.35">
      <c r="A212" s="49" t="s">
        <v>284</v>
      </c>
      <c r="B212" s="48">
        <v>9599</v>
      </c>
      <c r="C212" s="50">
        <v>11500</v>
      </c>
    </row>
    <row r="213" spans="1:3" x14ac:dyDescent="0.35">
      <c r="A213" s="49" t="s">
        <v>285</v>
      </c>
      <c r="B213" s="48">
        <v>8751</v>
      </c>
      <c r="C213" s="50">
        <v>10117</v>
      </c>
    </row>
    <row r="214" spans="1:3" x14ac:dyDescent="0.35">
      <c r="A214" s="52" t="s">
        <v>68</v>
      </c>
      <c r="B214" s="53">
        <v>16383</v>
      </c>
      <c r="C214" s="53">
        <v>15002</v>
      </c>
    </row>
    <row r="215" spans="1:3" x14ac:dyDescent="0.35">
      <c r="A215" s="47" t="s">
        <v>286</v>
      </c>
      <c r="B215" s="48">
        <v>3594</v>
      </c>
      <c r="C215" s="48">
        <v>3283</v>
      </c>
    </row>
    <row r="216" spans="1:3" x14ac:dyDescent="0.35">
      <c r="A216" s="49" t="s">
        <v>287</v>
      </c>
      <c r="B216" s="48">
        <v>1158</v>
      </c>
      <c r="C216" s="48">
        <v>821</v>
      </c>
    </row>
    <row r="217" spans="1:3" x14ac:dyDescent="0.35">
      <c r="A217" s="49" t="s">
        <v>288</v>
      </c>
      <c r="B217" s="48">
        <v>349</v>
      </c>
      <c r="C217" s="48">
        <v>316</v>
      </c>
    </row>
    <row r="218" spans="1:3" x14ac:dyDescent="0.35">
      <c r="A218" s="49" t="s">
        <v>289</v>
      </c>
      <c r="B218" s="48">
        <v>2087</v>
      </c>
      <c r="C218" s="48">
        <v>2146</v>
      </c>
    </row>
    <row r="219" spans="1:3" x14ac:dyDescent="0.35">
      <c r="A219" s="49" t="s">
        <v>290</v>
      </c>
      <c r="B219" s="48">
        <v>2087</v>
      </c>
      <c r="C219" s="48">
        <v>2146</v>
      </c>
    </row>
    <row r="220" spans="1:3" x14ac:dyDescent="0.35">
      <c r="A220" s="47" t="s">
        <v>291</v>
      </c>
      <c r="B220" s="55">
        <v>-42</v>
      </c>
      <c r="C220" s="54">
        <v>-207</v>
      </c>
    </row>
    <row r="221" spans="1:3" x14ac:dyDescent="0.35">
      <c r="A221" s="47" t="s">
        <v>76</v>
      </c>
      <c r="B221" s="50">
        <v>41914</v>
      </c>
      <c r="C221" s="50">
        <v>47018</v>
      </c>
    </row>
    <row r="222" spans="1:3" x14ac:dyDescent="0.35">
      <c r="A222" s="45" t="s">
        <v>292</v>
      </c>
      <c r="B222" s="46"/>
      <c r="C222" s="46"/>
    </row>
    <row r="223" spans="1:3" x14ac:dyDescent="0.35">
      <c r="A223" s="52" t="s">
        <v>293</v>
      </c>
      <c r="B223" s="53">
        <v>12831</v>
      </c>
      <c r="C223" s="53">
        <v>11926</v>
      </c>
    </row>
    <row r="224" spans="1:3" x14ac:dyDescent="0.35">
      <c r="A224" s="45" t="s">
        <v>294</v>
      </c>
      <c r="B224" s="46"/>
      <c r="C224" s="46"/>
    </row>
    <row r="225" spans="1:3" x14ac:dyDescent="0.35">
      <c r="A225" s="47" t="s">
        <v>295</v>
      </c>
      <c r="B225" s="54">
        <v>-656</v>
      </c>
      <c r="C225" s="54">
        <v>-933</v>
      </c>
    </row>
    <row r="226" spans="1:3" x14ac:dyDescent="0.35">
      <c r="A226" s="49" t="s">
        <v>81</v>
      </c>
      <c r="B226" s="48">
        <v>381</v>
      </c>
      <c r="C226" s="48">
        <v>544</v>
      </c>
    </row>
    <row r="227" spans="1:3" x14ac:dyDescent="0.35">
      <c r="A227" s="49" t="s">
        <v>296</v>
      </c>
      <c r="B227" s="48">
        <v>402</v>
      </c>
      <c r="C227" s="48">
        <v>311</v>
      </c>
    </row>
    <row r="228" spans="1:3" x14ac:dyDescent="0.35">
      <c r="A228" s="49" t="s">
        <v>297</v>
      </c>
      <c r="B228" s="48">
        <v>783</v>
      </c>
      <c r="C228" s="48">
        <v>855</v>
      </c>
    </row>
    <row r="229" spans="1:3" x14ac:dyDescent="0.35">
      <c r="A229" s="49" t="s">
        <v>298</v>
      </c>
      <c r="B229" s="48">
        <v>1031</v>
      </c>
      <c r="C229" s="48">
        <v>1239</v>
      </c>
    </row>
    <row r="230" spans="1:3" x14ac:dyDescent="0.35">
      <c r="A230" s="49" t="s">
        <v>299</v>
      </c>
      <c r="B230" s="48">
        <v>248</v>
      </c>
      <c r="C230" s="48">
        <v>384</v>
      </c>
    </row>
    <row r="231" spans="1:3" x14ac:dyDescent="0.35">
      <c r="A231" s="49" t="s">
        <v>300</v>
      </c>
      <c r="B231" s="54">
        <v>-275</v>
      </c>
      <c r="C231" s="54">
        <v>-389</v>
      </c>
    </row>
    <row r="232" spans="1:3" x14ac:dyDescent="0.35">
      <c r="A232" s="49" t="s">
        <v>301</v>
      </c>
      <c r="B232" s="51">
        <v>50</v>
      </c>
      <c r="C232" s="55">
        <v>-11</v>
      </c>
    </row>
    <row r="233" spans="1:3" x14ac:dyDescent="0.35">
      <c r="A233" s="49" t="s">
        <v>302</v>
      </c>
      <c r="B233" s="48">
        <v>325</v>
      </c>
      <c r="C233" s="48">
        <v>378</v>
      </c>
    </row>
    <row r="234" spans="1:3" x14ac:dyDescent="0.35">
      <c r="A234" s="47" t="s">
        <v>303</v>
      </c>
      <c r="B234" s="48">
        <v>1705</v>
      </c>
      <c r="C234" s="48">
        <v>1335</v>
      </c>
    </row>
    <row r="235" spans="1:3" x14ac:dyDescent="0.35">
      <c r="A235" s="47" t="s">
        <v>304</v>
      </c>
      <c r="B235" s="50">
        <v>13880</v>
      </c>
      <c r="C235" s="50">
        <v>12328</v>
      </c>
    </row>
    <row r="236" spans="1:3" x14ac:dyDescent="0.35">
      <c r="A236" s="45" t="s">
        <v>305</v>
      </c>
      <c r="B236" s="46"/>
      <c r="C236" s="46"/>
    </row>
    <row r="237" spans="1:3" x14ac:dyDescent="0.35">
      <c r="A237" s="47" t="s">
        <v>306</v>
      </c>
      <c r="B237" s="54">
        <v>-208</v>
      </c>
      <c r="C237" s="48">
        <v>328</v>
      </c>
    </row>
    <row r="238" spans="1:3" x14ac:dyDescent="0.35">
      <c r="A238" s="49" t="s">
        <v>307</v>
      </c>
      <c r="B238" s="51">
        <v>86</v>
      </c>
      <c r="C238" s="48">
        <v>117</v>
      </c>
    </row>
    <row r="239" spans="1:3" x14ac:dyDescent="0.35">
      <c r="A239" s="49" t="s">
        <v>308</v>
      </c>
      <c r="B239" s="51">
        <v>80</v>
      </c>
      <c r="C239" s="51">
        <v>26</v>
      </c>
    </row>
    <row r="240" spans="1:3" x14ac:dyDescent="0.35">
      <c r="A240" s="49" t="s">
        <v>309</v>
      </c>
      <c r="B240" s="51">
        <v>6</v>
      </c>
      <c r="C240" s="51">
        <v>91</v>
      </c>
    </row>
    <row r="241" spans="1:3" x14ac:dyDescent="0.35">
      <c r="A241" s="49" t="s">
        <v>310</v>
      </c>
      <c r="B241" s="50"/>
      <c r="C241" s="48">
        <v>286</v>
      </c>
    </row>
    <row r="242" spans="1:3" x14ac:dyDescent="0.35">
      <c r="A242" s="49" t="s">
        <v>311</v>
      </c>
      <c r="B242" s="54">
        <v>-173</v>
      </c>
      <c r="C242" s="50">
        <v>0</v>
      </c>
    </row>
    <row r="243" spans="1:3" x14ac:dyDescent="0.35">
      <c r="A243" s="49" t="s">
        <v>312</v>
      </c>
      <c r="B243" s="51">
        <v>51</v>
      </c>
      <c r="C243" s="48">
        <v>731</v>
      </c>
    </row>
    <row r="244" spans="1:3" x14ac:dyDescent="0.35">
      <c r="A244" s="45" t="s">
        <v>313</v>
      </c>
      <c r="B244" s="46"/>
      <c r="C244" s="46"/>
    </row>
    <row r="245" spans="1:3" x14ac:dyDescent="0.35">
      <c r="A245" s="52" t="s">
        <v>83</v>
      </c>
      <c r="B245" s="53">
        <v>13672</v>
      </c>
      <c r="C245" s="53">
        <v>12656</v>
      </c>
    </row>
    <row r="246" spans="1:3" x14ac:dyDescent="0.35">
      <c r="A246" s="45" t="s">
        <v>314</v>
      </c>
      <c r="B246" s="46"/>
      <c r="C246" s="46"/>
    </row>
    <row r="247" spans="1:3" x14ac:dyDescent="0.35">
      <c r="A247" s="47" t="s">
        <v>84</v>
      </c>
      <c r="B247" s="48">
        <v>4427</v>
      </c>
      <c r="C247" s="48">
        <v>5068</v>
      </c>
    </row>
    <row r="248" spans="1:3" x14ac:dyDescent="0.35">
      <c r="A248" s="49" t="s">
        <v>315</v>
      </c>
      <c r="B248" s="48">
        <v>4060</v>
      </c>
      <c r="C248" s="48">
        <v>4119</v>
      </c>
    </row>
    <row r="249" spans="1:3" x14ac:dyDescent="0.35">
      <c r="A249" s="49" t="s">
        <v>316</v>
      </c>
      <c r="B249" s="48">
        <v>811</v>
      </c>
      <c r="C249" s="48">
        <v>832</v>
      </c>
    </row>
    <row r="250" spans="1:3" x14ac:dyDescent="0.35">
      <c r="A250" s="49" t="s">
        <v>317</v>
      </c>
      <c r="B250" s="48">
        <v>3249</v>
      </c>
      <c r="C250" s="48">
        <v>3287</v>
      </c>
    </row>
    <row r="251" spans="1:3" x14ac:dyDescent="0.35">
      <c r="A251" s="49" t="s">
        <v>318</v>
      </c>
      <c r="B251" s="48">
        <v>367</v>
      </c>
      <c r="C251" s="48">
        <v>949</v>
      </c>
    </row>
    <row r="252" spans="1:3" x14ac:dyDescent="0.35">
      <c r="A252" s="49" t="s">
        <v>319</v>
      </c>
      <c r="B252" s="48">
        <v>296</v>
      </c>
      <c r="C252" s="48">
        <v>916</v>
      </c>
    </row>
    <row r="253" spans="1:3" x14ac:dyDescent="0.35">
      <c r="A253" s="49" t="s">
        <v>320</v>
      </c>
      <c r="B253" s="51">
        <v>71</v>
      </c>
      <c r="C253" s="51">
        <v>33</v>
      </c>
    </row>
    <row r="254" spans="1:3" x14ac:dyDescent="0.35">
      <c r="A254" s="45" t="s">
        <v>321</v>
      </c>
      <c r="B254" s="46"/>
      <c r="C254" s="46"/>
    </row>
    <row r="255" spans="1:3" x14ac:dyDescent="0.35">
      <c r="A255" s="47" t="s">
        <v>322</v>
      </c>
      <c r="B255" s="48">
        <v>9245</v>
      </c>
      <c r="C255" s="48">
        <v>7588</v>
      </c>
    </row>
    <row r="256" spans="1:3" x14ac:dyDescent="0.35">
      <c r="A256" s="45" t="s">
        <v>323</v>
      </c>
      <c r="B256" s="46"/>
      <c r="C256" s="46"/>
    </row>
    <row r="257" spans="1:3" x14ac:dyDescent="0.35">
      <c r="A257" s="52" t="s">
        <v>324</v>
      </c>
      <c r="B257" s="58">
        <v>9245</v>
      </c>
      <c r="C257" s="58">
        <v>7588</v>
      </c>
    </row>
    <row r="258" spans="1:3" x14ac:dyDescent="0.35">
      <c r="A258" s="47" t="s">
        <v>325</v>
      </c>
      <c r="B258" s="50"/>
      <c r="C258" s="48">
        <v>400</v>
      </c>
    </row>
    <row r="259" spans="1:3" x14ac:dyDescent="0.35">
      <c r="A259" s="49" t="s">
        <v>326</v>
      </c>
      <c r="B259" s="50"/>
      <c r="C259" s="48">
        <v>400</v>
      </c>
    </row>
    <row r="260" spans="1:3" x14ac:dyDescent="0.35">
      <c r="A260" s="47" t="s">
        <v>327</v>
      </c>
      <c r="B260" s="48">
        <v>9245</v>
      </c>
      <c r="C260" s="48">
        <v>7988</v>
      </c>
    </row>
    <row r="261" spans="1:3" x14ac:dyDescent="0.35">
      <c r="A261" s="47" t="s">
        <v>85</v>
      </c>
      <c r="B261" s="48">
        <v>9245</v>
      </c>
      <c r="C261" s="48">
        <v>7988</v>
      </c>
    </row>
    <row r="262" spans="1:3" x14ac:dyDescent="0.35">
      <c r="A262" s="45" t="s">
        <v>328</v>
      </c>
      <c r="B262" s="46"/>
      <c r="C262" s="46"/>
    </row>
    <row r="263" spans="1:3" x14ac:dyDescent="0.35">
      <c r="A263" s="47" t="s">
        <v>329</v>
      </c>
      <c r="B263" s="51">
        <v>27</v>
      </c>
      <c r="C263" s="51">
        <v>27</v>
      </c>
    </row>
    <row r="264" spans="1:3" x14ac:dyDescent="0.35">
      <c r="A264" s="52" t="s">
        <v>330</v>
      </c>
      <c r="B264" s="58">
        <v>9218</v>
      </c>
      <c r="C264" s="58">
        <v>7961</v>
      </c>
    </row>
    <row r="265" spans="1:3" x14ac:dyDescent="0.35">
      <c r="A265" s="45" t="s">
        <v>331</v>
      </c>
      <c r="B265" s="46"/>
      <c r="C265" s="46"/>
    </row>
    <row r="266" spans="1:3" x14ac:dyDescent="0.35">
      <c r="A266" s="47" t="s">
        <v>332</v>
      </c>
      <c r="B266" s="48">
        <v>9245</v>
      </c>
      <c r="C266" s="48">
        <v>7988</v>
      </c>
    </row>
    <row r="267" spans="1:3" x14ac:dyDescent="0.35">
      <c r="A267" s="47" t="s">
        <v>333</v>
      </c>
      <c r="B267" s="54">
        <v>-760</v>
      </c>
      <c r="C267" s="50"/>
    </row>
    <row r="268" spans="1:3" x14ac:dyDescent="0.35">
      <c r="A268" s="47" t="s">
        <v>334</v>
      </c>
      <c r="B268" s="51">
        <v>3</v>
      </c>
      <c r="C268" s="51">
        <v>5</v>
      </c>
    </row>
    <row r="269" spans="1:3" x14ac:dyDescent="0.35">
      <c r="A269" s="47" t="s">
        <v>335</v>
      </c>
      <c r="B269" s="55">
        <v>-44</v>
      </c>
      <c r="C269" s="50">
        <v>0</v>
      </c>
    </row>
    <row r="270" spans="1:3" x14ac:dyDescent="0.35">
      <c r="A270" s="47" t="s">
        <v>336</v>
      </c>
      <c r="B270" s="51">
        <v>1</v>
      </c>
      <c r="C270" s="48">
        <v>557</v>
      </c>
    </row>
    <row r="271" spans="1:3" x14ac:dyDescent="0.35">
      <c r="A271" s="47" t="s">
        <v>337</v>
      </c>
      <c r="B271" s="50">
        <v>0</v>
      </c>
      <c r="C271" s="50"/>
    </row>
    <row r="272" spans="1:3" x14ac:dyDescent="0.35">
      <c r="A272" s="47" t="s">
        <v>338</v>
      </c>
      <c r="B272" s="54">
        <v>-800</v>
      </c>
      <c r="C272" s="48">
        <v>562</v>
      </c>
    </row>
    <row r="273" spans="1:3" x14ac:dyDescent="0.35">
      <c r="A273" s="52" t="s">
        <v>339</v>
      </c>
      <c r="B273" s="58">
        <v>8445</v>
      </c>
      <c r="C273" s="58">
        <v>8550</v>
      </c>
    </row>
    <row r="274" spans="1:3" x14ac:dyDescent="0.35">
      <c r="A274" s="47" t="s">
        <v>340</v>
      </c>
      <c r="B274" s="48">
        <v>8445</v>
      </c>
      <c r="C274" s="48">
        <v>8550</v>
      </c>
    </row>
    <row r="275" spans="1:3" x14ac:dyDescent="0.35">
      <c r="A275" s="45" t="s">
        <v>341</v>
      </c>
      <c r="B275" s="46"/>
      <c r="C275" s="46"/>
    </row>
    <row r="276" spans="1:3" x14ac:dyDescent="0.35">
      <c r="A276" s="47" t="s">
        <v>342</v>
      </c>
      <c r="B276" s="48">
        <v>9218</v>
      </c>
      <c r="C276" s="48">
        <v>7961</v>
      </c>
    </row>
    <row r="277" spans="1:3" x14ac:dyDescent="0.35">
      <c r="A277" s="49" t="s">
        <v>343</v>
      </c>
      <c r="B277" s="48">
        <v>9218</v>
      </c>
      <c r="C277" s="48">
        <v>7561</v>
      </c>
    </row>
    <row r="278" spans="1:3" x14ac:dyDescent="0.35">
      <c r="A278" s="49" t="s">
        <v>344</v>
      </c>
      <c r="B278" s="48">
        <v>1178.92</v>
      </c>
      <c r="C278" s="48">
        <v>1252</v>
      </c>
    </row>
    <row r="279" spans="1:3" x14ac:dyDescent="0.35">
      <c r="A279" s="49" t="s">
        <v>345</v>
      </c>
      <c r="B279" s="51">
        <v>7.82</v>
      </c>
      <c r="C279" s="51">
        <v>6.36</v>
      </c>
    </row>
    <row r="280" spans="1:3" x14ac:dyDescent="0.35">
      <c r="A280" s="49" t="s">
        <v>346</v>
      </c>
      <c r="B280" s="51">
        <v>7.82</v>
      </c>
      <c r="C280" s="51">
        <v>6.04</v>
      </c>
    </row>
    <row r="281" spans="1:3" x14ac:dyDescent="0.35">
      <c r="A281" s="49" t="s">
        <v>347</v>
      </c>
      <c r="B281" s="51">
        <v>8</v>
      </c>
      <c r="C281" s="51">
        <v>5.78</v>
      </c>
    </row>
    <row r="282" spans="1:3" x14ac:dyDescent="0.35">
      <c r="A282" s="47" t="s">
        <v>348</v>
      </c>
      <c r="B282" s="48">
        <v>9218</v>
      </c>
      <c r="C282" s="48">
        <v>7961</v>
      </c>
    </row>
    <row r="283" spans="1:3" x14ac:dyDescent="0.35">
      <c r="A283" s="47" t="s">
        <v>349</v>
      </c>
      <c r="B283" s="51">
        <v>1</v>
      </c>
      <c r="C283" s="51">
        <v>1</v>
      </c>
    </row>
    <row r="284" spans="1:3" x14ac:dyDescent="0.35">
      <c r="A284" s="49" t="s">
        <v>350</v>
      </c>
      <c r="B284" s="48">
        <v>1178.92</v>
      </c>
      <c r="C284" s="48">
        <v>1252</v>
      </c>
    </row>
    <row r="285" spans="1:3" x14ac:dyDescent="0.35">
      <c r="A285" s="49" t="s">
        <v>351</v>
      </c>
      <c r="B285" s="51">
        <v>7.82</v>
      </c>
      <c r="C285" s="51">
        <v>6.36</v>
      </c>
    </row>
    <row r="286" spans="1:3" x14ac:dyDescent="0.35">
      <c r="A286" s="49" t="s">
        <v>352</v>
      </c>
      <c r="B286" s="51">
        <v>7.82</v>
      </c>
      <c r="C286" s="51">
        <v>6.04</v>
      </c>
    </row>
    <row r="287" spans="1:3" x14ac:dyDescent="0.35">
      <c r="A287" s="49" t="s">
        <v>353</v>
      </c>
      <c r="B287" s="51">
        <v>8</v>
      </c>
      <c r="C287" s="51">
        <v>5.78</v>
      </c>
    </row>
    <row r="288" spans="1:3" x14ac:dyDescent="0.35">
      <c r="A288" s="47" t="s">
        <v>354</v>
      </c>
      <c r="B288" s="50">
        <v>0</v>
      </c>
      <c r="C288" s="51">
        <v>0.32</v>
      </c>
    </row>
    <row r="289" spans="1:3" x14ac:dyDescent="0.35">
      <c r="A289" s="47" t="s">
        <v>355</v>
      </c>
      <c r="B289" s="51">
        <v>7.16</v>
      </c>
      <c r="C289" s="51">
        <v>6.83</v>
      </c>
    </row>
    <row r="290" spans="1:3" x14ac:dyDescent="0.35">
      <c r="A290" s="45" t="s">
        <v>356</v>
      </c>
      <c r="B290" s="46"/>
      <c r="C290" s="46"/>
    </row>
    <row r="291" spans="1:3" x14ac:dyDescent="0.35">
      <c r="A291" s="47" t="s">
        <v>357</v>
      </c>
      <c r="B291" s="48">
        <v>9218</v>
      </c>
      <c r="C291" s="48">
        <v>7961</v>
      </c>
    </row>
    <row r="292" spans="1:3" x14ac:dyDescent="0.35">
      <c r="A292" s="49" t="s">
        <v>358</v>
      </c>
      <c r="B292" s="48">
        <v>9218</v>
      </c>
      <c r="C292" s="48">
        <v>7561</v>
      </c>
    </row>
    <row r="293" spans="1:3" x14ac:dyDescent="0.35">
      <c r="A293" s="49" t="s">
        <v>359</v>
      </c>
      <c r="B293" s="48">
        <v>1180.8699999999999</v>
      </c>
      <c r="C293" s="48">
        <v>1253</v>
      </c>
    </row>
    <row r="294" spans="1:3" x14ac:dyDescent="0.35">
      <c r="A294" s="49" t="s">
        <v>360</v>
      </c>
      <c r="B294" s="51">
        <v>7.81</v>
      </c>
      <c r="C294" s="51">
        <v>6.35</v>
      </c>
    </row>
    <row r="295" spans="1:3" x14ac:dyDescent="0.35">
      <c r="A295" s="49" t="s">
        <v>361</v>
      </c>
      <c r="B295" s="51">
        <v>7.81</v>
      </c>
      <c r="C295" s="51">
        <v>6.03</v>
      </c>
    </row>
    <row r="296" spans="1:3" x14ac:dyDescent="0.35">
      <c r="A296" s="49" t="s">
        <v>362</v>
      </c>
      <c r="B296" s="51">
        <v>7.98</v>
      </c>
      <c r="C296" s="51">
        <v>5.77</v>
      </c>
    </row>
    <row r="297" spans="1:3" x14ac:dyDescent="0.35">
      <c r="A297" s="47" t="s">
        <v>363</v>
      </c>
      <c r="B297" s="48">
        <v>9218</v>
      </c>
      <c r="C297" s="48">
        <v>7961</v>
      </c>
    </row>
    <row r="298" spans="1:3" x14ac:dyDescent="0.35">
      <c r="A298" s="47" t="s">
        <v>364</v>
      </c>
      <c r="B298" s="51">
        <v>1</v>
      </c>
      <c r="C298" s="51">
        <v>1</v>
      </c>
    </row>
    <row r="299" spans="1:3" x14ac:dyDescent="0.35">
      <c r="A299" s="49" t="s">
        <v>365</v>
      </c>
      <c r="B299" s="48">
        <v>1180.8699999999999</v>
      </c>
      <c r="C299" s="48">
        <v>1253</v>
      </c>
    </row>
    <row r="300" spans="1:3" x14ac:dyDescent="0.35">
      <c r="A300" s="49" t="s">
        <v>366</v>
      </c>
      <c r="B300" s="51">
        <v>7.81</v>
      </c>
      <c r="C300" s="51">
        <v>6.35</v>
      </c>
    </row>
    <row r="301" spans="1:3" x14ac:dyDescent="0.35">
      <c r="A301" s="49" t="s">
        <v>367</v>
      </c>
      <c r="B301" s="51">
        <v>7.81</v>
      </c>
      <c r="C301" s="51">
        <v>6.03</v>
      </c>
    </row>
    <row r="302" spans="1:3" x14ac:dyDescent="0.35">
      <c r="A302" s="49" t="s">
        <v>368</v>
      </c>
      <c r="B302" s="51">
        <v>7.98</v>
      </c>
      <c r="C302" s="51">
        <v>5.77</v>
      </c>
    </row>
    <row r="303" spans="1:3" x14ac:dyDescent="0.35">
      <c r="A303" s="47" t="s">
        <v>369</v>
      </c>
      <c r="B303" s="50">
        <v>0</v>
      </c>
      <c r="C303" s="51">
        <v>0.32</v>
      </c>
    </row>
    <row r="304" spans="1:3" x14ac:dyDescent="0.35">
      <c r="A304" s="47" t="s">
        <v>370</v>
      </c>
      <c r="B304" s="51">
        <v>7.15</v>
      </c>
      <c r="C304" s="51">
        <v>6.82</v>
      </c>
    </row>
    <row r="305" spans="1:3" x14ac:dyDescent="0.35">
      <c r="A305" s="45" t="s">
        <v>371</v>
      </c>
      <c r="B305" s="46"/>
      <c r="C305" s="46"/>
    </row>
    <row r="306" spans="1:3" x14ac:dyDescent="0.35">
      <c r="A306" s="47" t="s">
        <v>372</v>
      </c>
      <c r="B306" s="51">
        <v>3.12</v>
      </c>
      <c r="C306" s="51">
        <v>3.18</v>
      </c>
    </row>
    <row r="307" spans="1:3" x14ac:dyDescent="0.35">
      <c r="A307" s="47" t="s">
        <v>373</v>
      </c>
      <c r="B307" s="51">
        <v>3.12</v>
      </c>
      <c r="C307" s="51">
        <v>3.18</v>
      </c>
    </row>
    <row r="308" spans="1:3" x14ac:dyDescent="0.35">
      <c r="A308" s="45" t="s">
        <v>374</v>
      </c>
      <c r="B308" s="46"/>
      <c r="C308" s="46"/>
    </row>
    <row r="309" spans="1:3" x14ac:dyDescent="0.35">
      <c r="A309" s="47" t="s">
        <v>78</v>
      </c>
      <c r="B309" s="50">
        <v>12831</v>
      </c>
      <c r="C309" s="50">
        <v>11926</v>
      </c>
    </row>
    <row r="310" spans="1:3" x14ac:dyDescent="0.35">
      <c r="A310" s="47" t="s">
        <v>80</v>
      </c>
      <c r="B310" s="50">
        <v>22430</v>
      </c>
      <c r="C310" s="50">
        <v>23426</v>
      </c>
    </row>
    <row r="311" spans="1:3" x14ac:dyDescent="0.35">
      <c r="A311" s="47" t="s">
        <v>375</v>
      </c>
      <c r="B311" s="50">
        <v>22779</v>
      </c>
      <c r="C311" s="50">
        <v>23742</v>
      </c>
    </row>
    <row r="312" spans="1:3" x14ac:dyDescent="0.35">
      <c r="A312" s="47" t="s">
        <v>376</v>
      </c>
      <c r="B312" s="50">
        <v>22755</v>
      </c>
      <c r="C312" s="50">
        <v>23873</v>
      </c>
    </row>
    <row r="313" spans="1:3" x14ac:dyDescent="0.35">
      <c r="A313" s="45" t="s">
        <v>377</v>
      </c>
      <c r="B313" s="46"/>
      <c r="C313" s="46"/>
    </row>
    <row r="314" spans="1:3" x14ac:dyDescent="0.35">
      <c r="A314" s="47" t="s">
        <v>378</v>
      </c>
      <c r="B314" s="48">
        <v>173</v>
      </c>
      <c r="C314" s="48">
        <v>171</v>
      </c>
    </row>
    <row r="315" spans="1:3" x14ac:dyDescent="0.35">
      <c r="A315" s="49" t="s">
        <v>379</v>
      </c>
      <c r="B315" s="48">
        <v>173</v>
      </c>
      <c r="C315" s="48">
        <v>171</v>
      </c>
    </row>
    <row r="316" spans="1:3" x14ac:dyDescent="0.35">
      <c r="A316" s="49" t="s">
        <v>380</v>
      </c>
      <c r="B316" s="48">
        <v>173</v>
      </c>
      <c r="C316" s="48">
        <v>171</v>
      </c>
    </row>
    <row r="317" spans="1:3" x14ac:dyDescent="0.35">
      <c r="A317" s="45" t="s">
        <v>381</v>
      </c>
      <c r="B317" s="46"/>
      <c r="C317" s="46"/>
    </row>
    <row r="318" spans="1:3" x14ac:dyDescent="0.35">
      <c r="A318" s="47" t="s">
        <v>79</v>
      </c>
      <c r="B318" s="48">
        <v>9599</v>
      </c>
      <c r="C318" s="50">
        <v>11500</v>
      </c>
    </row>
    <row r="319" spans="1:3" x14ac:dyDescent="0.35">
      <c r="A319" s="49" t="s">
        <v>382</v>
      </c>
      <c r="B319" s="48">
        <v>9599</v>
      </c>
      <c r="C319" s="50">
        <v>11500</v>
      </c>
    </row>
    <row r="320" spans="1:3" x14ac:dyDescent="0.35">
      <c r="A320" s="45" t="s">
        <v>383</v>
      </c>
      <c r="B320" s="46"/>
      <c r="C320" s="46"/>
    </row>
    <row r="321" spans="1:3" x14ac:dyDescent="0.35">
      <c r="A321" s="47" t="s">
        <v>384</v>
      </c>
      <c r="B321" s="51">
        <v>81</v>
      </c>
      <c r="C321" s="51">
        <v>78</v>
      </c>
    </row>
    <row r="322" spans="1:3" x14ac:dyDescent="0.35">
      <c r="A322" s="49" t="s">
        <v>72</v>
      </c>
      <c r="B322" s="51">
        <v>81</v>
      </c>
      <c r="C322" s="51">
        <v>78</v>
      </c>
    </row>
    <row r="323" spans="1:3" x14ac:dyDescent="0.35">
      <c r="A323" s="45" t="s">
        <v>385</v>
      </c>
      <c r="B323" s="46"/>
      <c r="C323" s="46"/>
    </row>
    <row r="324" spans="1:3" x14ac:dyDescent="0.35">
      <c r="A324" s="47" t="s">
        <v>386</v>
      </c>
      <c r="B324" s="50"/>
      <c r="C324" s="50"/>
    </row>
    <row r="325" spans="1:3" x14ac:dyDescent="0.35">
      <c r="A325" s="49" t="s">
        <v>387</v>
      </c>
      <c r="B325" s="48">
        <v>201</v>
      </c>
      <c r="C325" s="48">
        <v>257</v>
      </c>
    </row>
    <row r="326" spans="1:3" x14ac:dyDescent="0.35">
      <c r="A326" s="49" t="s">
        <v>388</v>
      </c>
      <c r="B326" s="48">
        <v>268</v>
      </c>
      <c r="C326" s="48">
        <v>336</v>
      </c>
    </row>
    <row r="327" spans="1:3" x14ac:dyDescent="0.35">
      <c r="A327" s="49" t="s">
        <v>389</v>
      </c>
      <c r="B327" s="51">
        <v>67</v>
      </c>
      <c r="C327" s="51">
        <v>79</v>
      </c>
    </row>
    <row r="328" spans="1:3" x14ac:dyDescent="0.35">
      <c r="A328" s="45" t="s">
        <v>390</v>
      </c>
      <c r="B328" s="46"/>
      <c r="C328" s="46"/>
    </row>
    <row r="329" spans="1:3" x14ac:dyDescent="0.35">
      <c r="A329" s="47" t="s">
        <v>390</v>
      </c>
      <c r="B329" s="51">
        <v>15.5</v>
      </c>
      <c r="C329" s="51">
        <v>15</v>
      </c>
    </row>
    <row r="330" spans="1:3" x14ac:dyDescent="0.35">
      <c r="A330" s="49" t="s">
        <v>391</v>
      </c>
      <c r="B330" s="51">
        <v>15.3</v>
      </c>
      <c r="C330" s="51">
        <v>14.9</v>
      </c>
    </row>
    <row r="331" spans="1:3" x14ac:dyDescent="0.35">
      <c r="A331" s="49" t="s">
        <v>392</v>
      </c>
      <c r="B331" s="51">
        <v>0.2</v>
      </c>
      <c r="C331" s="51">
        <v>0.1</v>
      </c>
    </row>
    <row r="332" spans="1:3" x14ac:dyDescent="0.35">
      <c r="A332" s="45" t="s">
        <v>393</v>
      </c>
      <c r="B332" s="46"/>
      <c r="C332" s="46"/>
    </row>
    <row r="333" spans="1:3" x14ac:dyDescent="0.35">
      <c r="A333" s="47" t="s">
        <v>394</v>
      </c>
      <c r="B333" s="48">
        <v>9453</v>
      </c>
      <c r="C333" s="48">
        <v>7260</v>
      </c>
    </row>
    <row r="334" spans="1:3" x14ac:dyDescent="0.35">
      <c r="A334" s="47" t="s">
        <v>395</v>
      </c>
      <c r="B334" s="48">
        <v>9453</v>
      </c>
      <c r="C334" s="48">
        <v>7260</v>
      </c>
    </row>
    <row r="335" spans="1:3" x14ac:dyDescent="0.35">
      <c r="A335" s="47" t="s">
        <v>396</v>
      </c>
      <c r="B335" s="48">
        <v>9426</v>
      </c>
      <c r="C335" s="48">
        <v>7233</v>
      </c>
    </row>
    <row r="336" spans="1:3" x14ac:dyDescent="0.35">
      <c r="A336" s="47" t="s">
        <v>397</v>
      </c>
      <c r="B336" s="50">
        <v>14261</v>
      </c>
      <c r="C336" s="50">
        <v>12872</v>
      </c>
    </row>
    <row r="337" spans="1:3" x14ac:dyDescent="0.35">
      <c r="A337" s="47" t="s">
        <v>398</v>
      </c>
      <c r="B337" s="50">
        <v>23860</v>
      </c>
      <c r="C337" s="50">
        <v>24372</v>
      </c>
    </row>
    <row r="338" spans="1:3" x14ac:dyDescent="0.35">
      <c r="A338" s="45" t="s">
        <v>399</v>
      </c>
      <c r="B338" s="46"/>
      <c r="C338" s="46"/>
    </row>
    <row r="339" spans="1:3" x14ac:dyDescent="0.35">
      <c r="A339" s="47" t="s">
        <v>400</v>
      </c>
      <c r="B339" s="48">
        <v>576</v>
      </c>
      <c r="C339" s="48">
        <v>707</v>
      </c>
    </row>
    <row r="340" spans="1:3" x14ac:dyDescent="0.35">
      <c r="A340" s="49" t="s">
        <v>401</v>
      </c>
      <c r="B340" s="48">
        <v>325</v>
      </c>
      <c r="C340" s="48">
        <v>447</v>
      </c>
    </row>
    <row r="341" spans="1:3" x14ac:dyDescent="0.35">
      <c r="A341" s="49" t="s">
        <v>402</v>
      </c>
      <c r="B341" s="48">
        <v>173</v>
      </c>
      <c r="C341" s="48">
        <v>171</v>
      </c>
    </row>
    <row r="342" spans="1:3" x14ac:dyDescent="0.35">
      <c r="A342" s="49" t="s">
        <v>403</v>
      </c>
      <c r="B342" s="51">
        <v>29</v>
      </c>
      <c r="C342" s="51">
        <v>24</v>
      </c>
    </row>
    <row r="343" spans="1:3" x14ac:dyDescent="0.35">
      <c r="A343" s="49" t="s">
        <v>404</v>
      </c>
      <c r="B343" s="51">
        <v>49</v>
      </c>
      <c r="C343" s="51">
        <v>65</v>
      </c>
    </row>
    <row r="344" spans="1:3" x14ac:dyDescent="0.35">
      <c r="A344" s="45" t="s">
        <v>82</v>
      </c>
      <c r="B344" s="46"/>
      <c r="C344" s="46"/>
    </row>
    <row r="345" spans="1:3" x14ac:dyDescent="0.35">
      <c r="A345" s="47" t="s">
        <v>405</v>
      </c>
      <c r="B345" s="48">
        <v>325</v>
      </c>
      <c r="C345" s="48">
        <v>447</v>
      </c>
    </row>
    <row r="346" spans="1:3" x14ac:dyDescent="0.35">
      <c r="A346" s="47" t="s">
        <v>406</v>
      </c>
      <c r="B346" s="50">
        <v>38362</v>
      </c>
      <c r="C346" s="50">
        <v>43942</v>
      </c>
    </row>
    <row r="347" spans="1:3" x14ac:dyDescent="0.35">
      <c r="A347" s="47" t="s">
        <v>407</v>
      </c>
      <c r="B347" s="50">
        <v>28763</v>
      </c>
      <c r="C347" s="50">
        <v>32442</v>
      </c>
    </row>
    <row r="348" spans="1:3" x14ac:dyDescent="0.35">
      <c r="A348" s="47" t="s">
        <v>408</v>
      </c>
      <c r="B348" s="48">
        <v>783</v>
      </c>
      <c r="C348" s="48">
        <v>855</v>
      </c>
    </row>
    <row r="349" spans="1:3" x14ac:dyDescent="0.35">
      <c r="A349" s="47" t="s">
        <v>280</v>
      </c>
      <c r="B349" s="50">
        <v>41914</v>
      </c>
      <c r="C349" s="50">
        <v>47018</v>
      </c>
    </row>
    <row r="350" spans="1:3" x14ac:dyDescent="0.35">
      <c r="A350" s="47" t="s">
        <v>70</v>
      </c>
      <c r="B350" s="48">
        <v>3513</v>
      </c>
      <c r="C350" s="48">
        <v>3205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66"/>
  <sheetViews>
    <sheetView workbookViewId="0"/>
  </sheetViews>
  <sheetFormatPr defaultRowHeight="14.5" x14ac:dyDescent="0.35"/>
  <cols>
    <col min="1" max="1" width="90.81640625" style="11" customWidth="1"/>
    <col min="2" max="2" width="23.453125" style="11" customWidth="1"/>
    <col min="3" max="3" width="9.6328125" style="11" customWidth="1"/>
    <col min="4" max="16384" width="8.7265625" style="11"/>
  </cols>
  <sheetData>
    <row r="1" spans="1:3" x14ac:dyDescent="0.35">
      <c r="A1" s="34" t="s">
        <v>94</v>
      </c>
      <c r="B1" s="35"/>
      <c r="C1" s="35"/>
    </row>
    <row r="2" spans="1:3" x14ac:dyDescent="0.35">
      <c r="A2" s="36" t="s">
        <v>95</v>
      </c>
      <c r="B2" s="37" t="s">
        <v>409</v>
      </c>
      <c r="C2"/>
    </row>
    <row r="3" spans="1:3" x14ac:dyDescent="0.35">
      <c r="A3" s="36" t="s">
        <v>97</v>
      </c>
      <c r="B3" s="36" t="s">
        <v>98</v>
      </c>
      <c r="C3"/>
    </row>
    <row r="4" spans="1:3" x14ac:dyDescent="0.35">
      <c r="A4" s="36" t="s">
        <v>99</v>
      </c>
      <c r="B4" s="36" t="s">
        <v>98</v>
      </c>
      <c r="C4"/>
    </row>
    <row r="5" spans="1:3" x14ac:dyDescent="0.35">
      <c r="A5" s="36" t="s">
        <v>100</v>
      </c>
      <c r="B5" s="36" t="s">
        <v>2</v>
      </c>
      <c r="C5"/>
    </row>
    <row r="6" spans="1:3" x14ac:dyDescent="0.35">
      <c r="A6" s="36" t="s">
        <v>101</v>
      </c>
      <c r="B6" s="36" t="s">
        <v>102</v>
      </c>
      <c r="C6"/>
    </row>
    <row r="7" spans="1:3" x14ac:dyDescent="0.35">
      <c r="A7" s="36" t="s">
        <v>103</v>
      </c>
      <c r="B7" s="36" t="s">
        <v>104</v>
      </c>
      <c r="C7"/>
    </row>
    <row r="8" spans="1:3" x14ac:dyDescent="0.35">
      <c r="A8" s="36" t="s">
        <v>105</v>
      </c>
      <c r="B8" s="36" t="s">
        <v>106</v>
      </c>
      <c r="C8"/>
    </row>
    <row r="9" spans="1:3" x14ac:dyDescent="0.35">
      <c r="A9" s="36" t="s">
        <v>107</v>
      </c>
      <c r="B9" s="36" t="s">
        <v>108</v>
      </c>
      <c r="C9"/>
    </row>
    <row r="10" spans="1:3" x14ac:dyDescent="0.35">
      <c r="A10" s="36" t="s">
        <v>109</v>
      </c>
      <c r="B10" s="38">
        <v>46295.612542280098</v>
      </c>
      <c r="C10"/>
    </row>
    <row r="11" spans="1:3" x14ac:dyDescent="0.35">
      <c r="A11" s="39" t="s">
        <v>110</v>
      </c>
      <c r="B11" s="40" t="s">
        <v>111</v>
      </c>
      <c r="C11" s="40" t="s">
        <v>112</v>
      </c>
    </row>
    <row r="12" spans="1:3" x14ac:dyDescent="0.35">
      <c r="A12" s="41" t="s">
        <v>113</v>
      </c>
      <c r="B12" s="42">
        <v>45657</v>
      </c>
      <c r="C12" s="42">
        <v>46022</v>
      </c>
    </row>
    <row r="13" spans="1:3" x14ac:dyDescent="0.35">
      <c r="A13" s="41" t="s">
        <v>114</v>
      </c>
      <c r="B13" s="42" t="s">
        <v>115</v>
      </c>
      <c r="C13" s="42" t="s">
        <v>115</v>
      </c>
    </row>
    <row r="14" spans="1:3" x14ac:dyDescent="0.35">
      <c r="A14" s="43" t="s">
        <v>116</v>
      </c>
      <c r="B14" s="39"/>
      <c r="C14" s="39"/>
    </row>
    <row r="15" spans="1:3" x14ac:dyDescent="0.35">
      <c r="A15" s="43" t="s">
        <v>117</v>
      </c>
      <c r="B15" s="44" t="s">
        <v>118</v>
      </c>
      <c r="C15" s="44" t="s">
        <v>119</v>
      </c>
    </row>
    <row r="16" spans="1:3" x14ac:dyDescent="0.35">
      <c r="A16" s="45" t="s">
        <v>120</v>
      </c>
      <c r="B16" s="46"/>
      <c r="C16" s="46"/>
    </row>
    <row r="17" spans="1:3" x14ac:dyDescent="0.35">
      <c r="A17" s="47" t="s">
        <v>121</v>
      </c>
      <c r="B17" s="48">
        <v>6785</v>
      </c>
      <c r="C17" s="48">
        <v>6297</v>
      </c>
    </row>
    <row r="18" spans="1:3" x14ac:dyDescent="0.35">
      <c r="A18" s="49" t="s">
        <v>12</v>
      </c>
      <c r="B18" s="48">
        <v>6781</v>
      </c>
      <c r="C18" s="48">
        <v>6293</v>
      </c>
    </row>
    <row r="19" spans="1:3" x14ac:dyDescent="0.35">
      <c r="A19" s="49" t="s">
        <v>14</v>
      </c>
      <c r="B19" s="51">
        <v>4</v>
      </c>
      <c r="C19" s="51">
        <v>4</v>
      </c>
    </row>
    <row r="20" spans="1:3" x14ac:dyDescent="0.35">
      <c r="A20" s="47" t="s">
        <v>122</v>
      </c>
      <c r="B20" s="50">
        <v>20684</v>
      </c>
      <c r="C20" s="50">
        <v>18075</v>
      </c>
    </row>
    <row r="21" spans="1:3" x14ac:dyDescent="0.35">
      <c r="A21" s="49" t="s">
        <v>16</v>
      </c>
      <c r="B21" s="50">
        <v>20684</v>
      </c>
      <c r="C21" s="50">
        <v>18075</v>
      </c>
    </row>
    <row r="22" spans="1:3" x14ac:dyDescent="0.35">
      <c r="A22" s="49" t="s">
        <v>123</v>
      </c>
      <c r="B22" s="50">
        <v>20943</v>
      </c>
      <c r="C22" s="50">
        <v>18251</v>
      </c>
    </row>
    <row r="23" spans="1:3" x14ac:dyDescent="0.35">
      <c r="A23" s="49" t="s">
        <v>124</v>
      </c>
      <c r="B23" s="48">
        <v>259</v>
      </c>
      <c r="C23" s="48">
        <v>176</v>
      </c>
    </row>
    <row r="24" spans="1:3" x14ac:dyDescent="0.35">
      <c r="A24" s="47" t="s">
        <v>18</v>
      </c>
      <c r="B24" s="48">
        <v>9074</v>
      </c>
      <c r="C24" s="48">
        <v>9711</v>
      </c>
    </row>
    <row r="25" spans="1:3" x14ac:dyDescent="0.35">
      <c r="A25" s="49" t="s">
        <v>125</v>
      </c>
      <c r="B25" s="48">
        <v>2584</v>
      </c>
      <c r="C25" s="48">
        <v>3071</v>
      </c>
    </row>
    <row r="26" spans="1:3" x14ac:dyDescent="0.35">
      <c r="A26" s="49" t="s">
        <v>126</v>
      </c>
      <c r="B26" s="48">
        <v>6490</v>
      </c>
      <c r="C26" s="48">
        <v>6640</v>
      </c>
    </row>
    <row r="27" spans="1:3" x14ac:dyDescent="0.35">
      <c r="A27" s="47" t="s">
        <v>127</v>
      </c>
      <c r="B27" s="48">
        <v>4087</v>
      </c>
      <c r="C27" s="48">
        <v>4295</v>
      </c>
    </row>
    <row r="28" spans="1:3" x14ac:dyDescent="0.35">
      <c r="A28" s="47" t="s">
        <v>410</v>
      </c>
      <c r="B28" s="48">
        <v>281</v>
      </c>
      <c r="C28" s="48">
        <v>174</v>
      </c>
    </row>
    <row r="29" spans="1:3" x14ac:dyDescent="0.35">
      <c r="A29" s="49" t="s">
        <v>411</v>
      </c>
      <c r="B29" s="48">
        <v>281</v>
      </c>
      <c r="C29" s="48">
        <v>174</v>
      </c>
    </row>
    <row r="30" spans="1:3" x14ac:dyDescent="0.35">
      <c r="A30" s="52" t="s">
        <v>22</v>
      </c>
      <c r="B30" s="53">
        <v>40911</v>
      </c>
      <c r="C30" s="53">
        <v>38552</v>
      </c>
    </row>
    <row r="31" spans="1:3" x14ac:dyDescent="0.35">
      <c r="A31" s="45" t="s">
        <v>128</v>
      </c>
      <c r="B31" s="46"/>
      <c r="C31" s="46"/>
    </row>
    <row r="32" spans="1:3" x14ac:dyDescent="0.35">
      <c r="A32" s="47" t="s">
        <v>25</v>
      </c>
      <c r="B32" s="48">
        <v>820</v>
      </c>
      <c r="C32" s="48">
        <v>830</v>
      </c>
    </row>
    <row r="33" spans="1:3" x14ac:dyDescent="0.35">
      <c r="A33" s="49" t="s">
        <v>129</v>
      </c>
      <c r="B33" s="48">
        <v>820</v>
      </c>
      <c r="C33" s="48">
        <v>830</v>
      </c>
    </row>
    <row r="34" spans="1:3" x14ac:dyDescent="0.35">
      <c r="A34" s="47" t="s">
        <v>130</v>
      </c>
      <c r="B34" s="50">
        <v>46618</v>
      </c>
      <c r="C34" s="50">
        <v>43037</v>
      </c>
    </row>
    <row r="35" spans="1:3" x14ac:dyDescent="0.35">
      <c r="A35" s="47" t="s">
        <v>131</v>
      </c>
      <c r="B35" s="48">
        <v>877</v>
      </c>
      <c r="C35" s="48">
        <v>1035</v>
      </c>
    </row>
    <row r="36" spans="1:3" x14ac:dyDescent="0.35">
      <c r="A36" s="49" t="s">
        <v>412</v>
      </c>
      <c r="B36" s="48">
        <v>877</v>
      </c>
      <c r="C36" s="48">
        <v>1251</v>
      </c>
    </row>
    <row r="37" spans="1:3" x14ac:dyDescent="0.35">
      <c r="A37" s="49" t="s">
        <v>413</v>
      </c>
      <c r="B37" s="50"/>
      <c r="C37" s="48">
        <v>216</v>
      </c>
    </row>
    <row r="38" spans="1:3" x14ac:dyDescent="0.35">
      <c r="A38" s="47" t="s">
        <v>27</v>
      </c>
      <c r="B38" s="50">
        <v>153114</v>
      </c>
      <c r="C38" s="50">
        <v>225783</v>
      </c>
    </row>
    <row r="39" spans="1:3" x14ac:dyDescent="0.35">
      <c r="A39" s="49" t="s">
        <v>133</v>
      </c>
      <c r="B39" s="50">
        <v>153114</v>
      </c>
      <c r="C39" s="50">
        <v>225783</v>
      </c>
    </row>
    <row r="40" spans="1:3" x14ac:dyDescent="0.35">
      <c r="A40" s="49" t="s">
        <v>414</v>
      </c>
      <c r="B40" s="48">
        <v>5315</v>
      </c>
      <c r="C40" s="48">
        <v>6054</v>
      </c>
    </row>
    <row r="41" spans="1:3" x14ac:dyDescent="0.35">
      <c r="A41" s="49" t="s">
        <v>415</v>
      </c>
      <c r="B41" s="48">
        <v>5315</v>
      </c>
      <c r="C41" s="48">
        <v>6054</v>
      </c>
    </row>
    <row r="42" spans="1:3" x14ac:dyDescent="0.35">
      <c r="A42" s="49" t="s">
        <v>416</v>
      </c>
      <c r="B42" s="50">
        <v>147799</v>
      </c>
      <c r="C42" s="50">
        <v>219729</v>
      </c>
    </row>
    <row r="43" spans="1:3" x14ac:dyDescent="0.35">
      <c r="A43" s="49" t="s">
        <v>134</v>
      </c>
      <c r="B43" s="50">
        <v>351248</v>
      </c>
      <c r="C43" s="50">
        <v>441009</v>
      </c>
    </row>
    <row r="44" spans="1:3" x14ac:dyDescent="0.35">
      <c r="A44" s="49" t="s">
        <v>135</v>
      </c>
      <c r="B44" s="50">
        <v>351248</v>
      </c>
      <c r="C44" s="50">
        <v>441009</v>
      </c>
    </row>
    <row r="45" spans="1:3" x14ac:dyDescent="0.35">
      <c r="A45" s="49" t="s">
        <v>136</v>
      </c>
      <c r="B45" s="48">
        <v>5315</v>
      </c>
      <c r="C45" s="48">
        <v>6054</v>
      </c>
    </row>
    <row r="46" spans="1:3" x14ac:dyDescent="0.35">
      <c r="A46" s="49" t="s">
        <v>137</v>
      </c>
      <c r="B46" s="48">
        <v>5315</v>
      </c>
      <c r="C46" s="48">
        <v>6054</v>
      </c>
    </row>
    <row r="47" spans="1:3" x14ac:dyDescent="0.35">
      <c r="A47" s="49" t="s">
        <v>138</v>
      </c>
      <c r="B47" s="50">
        <v>345933</v>
      </c>
      <c r="C47" s="50">
        <v>434955</v>
      </c>
    </row>
    <row r="48" spans="1:3" x14ac:dyDescent="0.35">
      <c r="A48" s="49" t="s">
        <v>139</v>
      </c>
      <c r="B48" s="50">
        <v>198134</v>
      </c>
      <c r="C48" s="50">
        <v>215226</v>
      </c>
    </row>
    <row r="49" spans="1:3" x14ac:dyDescent="0.35">
      <c r="A49" s="49" t="s">
        <v>140</v>
      </c>
      <c r="B49" s="50">
        <v>198134</v>
      </c>
      <c r="C49" s="50">
        <v>215226</v>
      </c>
    </row>
    <row r="50" spans="1:3" x14ac:dyDescent="0.35">
      <c r="A50" s="49" t="s">
        <v>417</v>
      </c>
      <c r="B50" s="50">
        <v>198134</v>
      </c>
      <c r="C50" s="50">
        <v>215226</v>
      </c>
    </row>
    <row r="51" spans="1:3" x14ac:dyDescent="0.35">
      <c r="A51" s="47" t="s">
        <v>418</v>
      </c>
      <c r="B51" s="48">
        <v>481</v>
      </c>
      <c r="C51" s="51">
        <v>25</v>
      </c>
    </row>
    <row r="52" spans="1:3" x14ac:dyDescent="0.35">
      <c r="A52" s="47" t="s">
        <v>141</v>
      </c>
      <c r="B52" s="48">
        <v>9539</v>
      </c>
      <c r="C52" s="50">
        <v>10182</v>
      </c>
    </row>
    <row r="53" spans="1:3" x14ac:dyDescent="0.35">
      <c r="A53" s="49" t="s">
        <v>142</v>
      </c>
      <c r="B53" s="48">
        <v>1200</v>
      </c>
      <c r="C53" s="48">
        <v>818</v>
      </c>
    </row>
    <row r="54" spans="1:3" x14ac:dyDescent="0.35">
      <c r="A54" s="49" t="s">
        <v>419</v>
      </c>
      <c r="B54" s="48">
        <v>3516</v>
      </c>
      <c r="C54" s="48">
        <v>2862</v>
      </c>
    </row>
    <row r="55" spans="1:3" x14ac:dyDescent="0.35">
      <c r="A55" s="49" t="s">
        <v>420</v>
      </c>
      <c r="B55" s="48">
        <v>4823</v>
      </c>
      <c r="C55" s="48">
        <v>6502</v>
      </c>
    </row>
    <row r="56" spans="1:3" x14ac:dyDescent="0.35">
      <c r="A56" s="47" t="s">
        <v>29</v>
      </c>
      <c r="B56" s="48">
        <v>4578</v>
      </c>
      <c r="C56" s="48">
        <v>4568</v>
      </c>
    </row>
    <row r="57" spans="1:3" x14ac:dyDescent="0.35">
      <c r="A57" s="49" t="s">
        <v>421</v>
      </c>
      <c r="B57" s="48">
        <v>4578</v>
      </c>
      <c r="C57" s="48">
        <v>4568</v>
      </c>
    </row>
    <row r="58" spans="1:3" x14ac:dyDescent="0.35">
      <c r="A58" s="52" t="s">
        <v>33</v>
      </c>
      <c r="B58" s="53">
        <v>216027</v>
      </c>
      <c r="C58" s="53">
        <v>285460</v>
      </c>
    </row>
    <row r="59" spans="1:3" x14ac:dyDescent="0.35">
      <c r="A59" s="45" t="s">
        <v>35</v>
      </c>
      <c r="B59" s="46"/>
      <c r="C59" s="46"/>
    </row>
    <row r="60" spans="1:3" x14ac:dyDescent="0.35">
      <c r="A60" s="52" t="s">
        <v>35</v>
      </c>
      <c r="B60" s="53">
        <v>256938</v>
      </c>
      <c r="C60" s="53">
        <v>324012</v>
      </c>
    </row>
    <row r="61" spans="1:3" x14ac:dyDescent="0.35">
      <c r="A61" s="45" t="s">
        <v>143</v>
      </c>
      <c r="B61" s="46"/>
      <c r="C61" s="46"/>
    </row>
    <row r="62" spans="1:3" x14ac:dyDescent="0.35">
      <c r="A62" s="47" t="s">
        <v>144</v>
      </c>
      <c r="B62" s="50">
        <v>29046</v>
      </c>
      <c r="C62" s="50">
        <v>28212</v>
      </c>
    </row>
    <row r="63" spans="1:3" x14ac:dyDescent="0.35">
      <c r="A63" s="49" t="s">
        <v>37</v>
      </c>
      <c r="B63" s="50">
        <v>22079</v>
      </c>
      <c r="C63" s="50">
        <v>19280</v>
      </c>
    </row>
    <row r="64" spans="1:3" x14ac:dyDescent="0.35">
      <c r="A64" s="49" t="s">
        <v>145</v>
      </c>
      <c r="B64" s="48">
        <v>6967</v>
      </c>
      <c r="C64" s="48">
        <v>8932</v>
      </c>
    </row>
    <row r="65" spans="1:3" x14ac:dyDescent="0.35">
      <c r="A65" s="47" t="s">
        <v>39</v>
      </c>
      <c r="B65" s="48">
        <v>4406</v>
      </c>
      <c r="C65" s="48">
        <v>977</v>
      </c>
    </row>
    <row r="66" spans="1:3" x14ac:dyDescent="0.35">
      <c r="A66" s="49" t="s">
        <v>422</v>
      </c>
      <c r="B66" s="48">
        <v>131</v>
      </c>
      <c r="C66" s="51">
        <v>96</v>
      </c>
    </row>
    <row r="67" spans="1:3" x14ac:dyDescent="0.35">
      <c r="A67" s="49" t="s">
        <v>146</v>
      </c>
      <c r="B67" s="48">
        <v>4275</v>
      </c>
      <c r="C67" s="48">
        <v>881</v>
      </c>
    </row>
    <row r="68" spans="1:3" x14ac:dyDescent="0.35">
      <c r="A68" s="49" t="s">
        <v>147</v>
      </c>
      <c r="B68" s="48">
        <v>4217</v>
      </c>
      <c r="C68" s="51">
        <v>95</v>
      </c>
    </row>
    <row r="69" spans="1:3" x14ac:dyDescent="0.35">
      <c r="A69" s="49" t="s">
        <v>148</v>
      </c>
      <c r="B69" s="51">
        <v>58</v>
      </c>
      <c r="C69" s="48">
        <v>786</v>
      </c>
    </row>
    <row r="70" spans="1:3" x14ac:dyDescent="0.35">
      <c r="A70" s="47" t="s">
        <v>149</v>
      </c>
      <c r="B70" s="48">
        <v>1872</v>
      </c>
      <c r="C70" s="48">
        <v>844</v>
      </c>
    </row>
    <row r="71" spans="1:3" x14ac:dyDescent="0.35">
      <c r="A71" s="47" t="s">
        <v>150</v>
      </c>
      <c r="B71" s="48">
        <v>1519</v>
      </c>
      <c r="C71" s="48">
        <v>1831</v>
      </c>
    </row>
    <row r="72" spans="1:3" x14ac:dyDescent="0.35">
      <c r="A72" s="47" t="s">
        <v>423</v>
      </c>
      <c r="B72" s="48">
        <v>1715</v>
      </c>
      <c r="C72" s="48">
        <v>1523</v>
      </c>
    </row>
    <row r="73" spans="1:3" x14ac:dyDescent="0.35">
      <c r="A73" s="49" t="s">
        <v>41</v>
      </c>
      <c r="B73" s="48">
        <v>1715</v>
      </c>
      <c r="C73" s="48">
        <v>1523</v>
      </c>
    </row>
    <row r="74" spans="1:3" x14ac:dyDescent="0.35">
      <c r="A74" s="52" t="s">
        <v>43</v>
      </c>
      <c r="B74" s="53">
        <v>38558</v>
      </c>
      <c r="C74" s="53">
        <v>33387</v>
      </c>
    </row>
    <row r="75" spans="1:3" x14ac:dyDescent="0.35">
      <c r="A75" s="45" t="s">
        <v>151</v>
      </c>
      <c r="B75" s="46"/>
      <c r="C75" s="46"/>
    </row>
    <row r="76" spans="1:3" x14ac:dyDescent="0.35">
      <c r="A76" s="47" t="s">
        <v>45</v>
      </c>
      <c r="B76" s="50">
        <v>20135</v>
      </c>
      <c r="C76" s="50">
        <v>39781</v>
      </c>
    </row>
    <row r="77" spans="1:3" x14ac:dyDescent="0.35">
      <c r="A77" s="49" t="s">
        <v>152</v>
      </c>
      <c r="B77" s="50">
        <v>19589</v>
      </c>
      <c r="C77" s="50">
        <v>39122</v>
      </c>
    </row>
    <row r="78" spans="1:3" x14ac:dyDescent="0.35">
      <c r="A78" s="49" t="s">
        <v>153</v>
      </c>
      <c r="B78" s="50">
        <v>19589</v>
      </c>
      <c r="C78" s="50">
        <v>39122</v>
      </c>
    </row>
    <row r="79" spans="1:3" x14ac:dyDescent="0.35">
      <c r="A79" s="49" t="s">
        <v>154</v>
      </c>
      <c r="B79" s="48">
        <v>546</v>
      </c>
      <c r="C79" s="48">
        <v>659</v>
      </c>
    </row>
    <row r="80" spans="1:3" x14ac:dyDescent="0.35">
      <c r="A80" s="47" t="s">
        <v>155</v>
      </c>
      <c r="B80" s="50">
        <v>19137</v>
      </c>
      <c r="C80" s="50">
        <v>30014</v>
      </c>
    </row>
    <row r="81" spans="1:3" x14ac:dyDescent="0.35">
      <c r="A81" s="49" t="s">
        <v>156</v>
      </c>
      <c r="B81" s="50">
        <v>19137</v>
      </c>
      <c r="C81" s="50">
        <v>30014</v>
      </c>
    </row>
    <row r="82" spans="1:3" x14ac:dyDescent="0.35">
      <c r="A82" s="47" t="s">
        <v>157</v>
      </c>
      <c r="B82" s="48">
        <v>3551</v>
      </c>
      <c r="C82" s="48">
        <v>4154</v>
      </c>
    </row>
    <row r="83" spans="1:3" x14ac:dyDescent="0.35">
      <c r="A83" s="47" t="s">
        <v>158</v>
      </c>
      <c r="B83" s="50">
        <v>22400</v>
      </c>
      <c r="C83" s="50">
        <v>24500</v>
      </c>
    </row>
    <row r="84" spans="1:3" x14ac:dyDescent="0.35">
      <c r="A84" s="49" t="s">
        <v>159</v>
      </c>
      <c r="B84" s="48">
        <v>3857</v>
      </c>
      <c r="C84" s="48">
        <v>4111</v>
      </c>
    </row>
    <row r="85" spans="1:3" x14ac:dyDescent="0.35">
      <c r="A85" s="49" t="s">
        <v>160</v>
      </c>
      <c r="B85" s="48">
        <v>3857</v>
      </c>
      <c r="C85" s="48">
        <v>4111</v>
      </c>
    </row>
    <row r="86" spans="1:3" x14ac:dyDescent="0.35">
      <c r="A86" s="49" t="s">
        <v>47</v>
      </c>
      <c r="B86" s="50">
        <v>18543</v>
      </c>
      <c r="C86" s="50">
        <v>20389</v>
      </c>
    </row>
    <row r="87" spans="1:3" x14ac:dyDescent="0.35">
      <c r="A87" s="47" t="s">
        <v>49</v>
      </c>
      <c r="B87" s="50">
        <v>65223</v>
      </c>
      <c r="C87" s="50">
        <v>98449</v>
      </c>
    </row>
    <row r="88" spans="1:3" x14ac:dyDescent="0.35">
      <c r="A88" s="45" t="s">
        <v>51</v>
      </c>
      <c r="B88" s="46"/>
      <c r="C88" s="46"/>
    </row>
    <row r="89" spans="1:3" x14ac:dyDescent="0.35">
      <c r="A89" s="52" t="s">
        <v>51</v>
      </c>
      <c r="B89" s="53">
        <v>103781</v>
      </c>
      <c r="C89" s="53">
        <v>131836</v>
      </c>
    </row>
    <row r="90" spans="1:3" x14ac:dyDescent="0.35">
      <c r="A90" s="45" t="s">
        <v>162</v>
      </c>
      <c r="B90" s="46"/>
      <c r="C90" s="46"/>
    </row>
    <row r="91" spans="1:3" x14ac:dyDescent="0.35">
      <c r="A91" s="47" t="s">
        <v>163</v>
      </c>
      <c r="B91" s="50">
        <v>152318</v>
      </c>
      <c r="C91" s="50">
        <v>186450</v>
      </c>
    </row>
    <row r="92" spans="1:3" x14ac:dyDescent="0.35">
      <c r="A92" s="49" t="s">
        <v>424</v>
      </c>
      <c r="B92" s="50">
        <v>0</v>
      </c>
      <c r="C92" s="50">
        <v>0</v>
      </c>
    </row>
    <row r="93" spans="1:3" x14ac:dyDescent="0.35">
      <c r="A93" s="49" t="s">
        <v>425</v>
      </c>
      <c r="B93" s="50">
        <v>0</v>
      </c>
      <c r="C93" s="50">
        <v>0</v>
      </c>
    </row>
    <row r="94" spans="1:3" x14ac:dyDescent="0.35">
      <c r="A94" s="49" t="s">
        <v>426</v>
      </c>
      <c r="B94" s="50">
        <v>0</v>
      </c>
      <c r="C94" s="50">
        <v>0</v>
      </c>
    </row>
    <row r="95" spans="1:3" x14ac:dyDescent="0.35">
      <c r="A95" s="49" t="s">
        <v>164</v>
      </c>
      <c r="B95" s="50">
        <v>152318</v>
      </c>
      <c r="C95" s="50">
        <v>186450</v>
      </c>
    </row>
    <row r="96" spans="1:3" x14ac:dyDescent="0.35">
      <c r="A96" s="49" t="s">
        <v>165</v>
      </c>
      <c r="B96" s="50">
        <v>74037</v>
      </c>
      <c r="C96" s="50">
        <v>51929</v>
      </c>
    </row>
    <row r="97" spans="1:3" x14ac:dyDescent="0.35">
      <c r="A97" s="49" t="s">
        <v>166</v>
      </c>
      <c r="B97" s="50">
        <v>23503</v>
      </c>
      <c r="C97" s="50">
        <v>35718</v>
      </c>
    </row>
    <row r="98" spans="1:3" x14ac:dyDescent="0.35">
      <c r="A98" s="49" t="s">
        <v>167</v>
      </c>
      <c r="B98" s="48">
        <v>1832</v>
      </c>
      <c r="C98" s="48">
        <v>1832</v>
      </c>
    </row>
    <row r="99" spans="1:3" x14ac:dyDescent="0.35">
      <c r="A99" s="49" t="s">
        <v>168</v>
      </c>
      <c r="B99" s="50">
        <v>21671</v>
      </c>
      <c r="C99" s="50">
        <v>33886</v>
      </c>
    </row>
    <row r="100" spans="1:3" x14ac:dyDescent="0.35">
      <c r="A100" s="49" t="s">
        <v>169</v>
      </c>
      <c r="B100" s="50">
        <v>202852</v>
      </c>
      <c r="C100" s="50">
        <v>202661</v>
      </c>
    </row>
    <row r="101" spans="1:3" x14ac:dyDescent="0.35">
      <c r="A101" s="49" t="s">
        <v>170</v>
      </c>
      <c r="B101" s="50">
        <v>205852</v>
      </c>
      <c r="C101" s="50">
        <v>205365</v>
      </c>
    </row>
    <row r="102" spans="1:3" x14ac:dyDescent="0.35">
      <c r="A102" s="49" t="s">
        <v>171</v>
      </c>
      <c r="B102" s="54">
        <v>-2760</v>
      </c>
      <c r="C102" s="54">
        <v>-2464</v>
      </c>
    </row>
    <row r="103" spans="1:3" x14ac:dyDescent="0.35">
      <c r="A103" s="49" t="s">
        <v>172</v>
      </c>
      <c r="B103" s="55">
        <v>-19</v>
      </c>
      <c r="C103" s="55">
        <v>-4</v>
      </c>
    </row>
    <row r="104" spans="1:3" x14ac:dyDescent="0.35">
      <c r="A104" s="49" t="s">
        <v>173</v>
      </c>
      <c r="B104" s="55">
        <v>-14</v>
      </c>
      <c r="C104" s="51">
        <v>8</v>
      </c>
    </row>
    <row r="105" spans="1:3" x14ac:dyDescent="0.35">
      <c r="A105" s="49" t="s">
        <v>174</v>
      </c>
      <c r="B105" s="54">
        <v>-259</v>
      </c>
      <c r="C105" s="54">
        <v>-199</v>
      </c>
    </row>
    <row r="106" spans="1:3" x14ac:dyDescent="0.35">
      <c r="A106" s="49" t="s">
        <v>175</v>
      </c>
      <c r="B106" s="54">
        <v>-2468</v>
      </c>
      <c r="C106" s="54">
        <v>-2269</v>
      </c>
    </row>
    <row r="107" spans="1:3" x14ac:dyDescent="0.35">
      <c r="A107" s="49" t="s">
        <v>427</v>
      </c>
      <c r="B107" s="54">
        <v>-240</v>
      </c>
      <c r="C107" s="54">
        <v>-240</v>
      </c>
    </row>
    <row r="108" spans="1:3" x14ac:dyDescent="0.35">
      <c r="A108" s="49" t="s">
        <v>53</v>
      </c>
      <c r="B108" s="50">
        <v>152318</v>
      </c>
      <c r="C108" s="50">
        <v>186450</v>
      </c>
    </row>
    <row r="109" spans="1:3" x14ac:dyDescent="0.35">
      <c r="A109" s="47" t="s">
        <v>428</v>
      </c>
      <c r="B109" s="48">
        <v>839</v>
      </c>
      <c r="C109" s="48">
        <v>5726</v>
      </c>
    </row>
    <row r="110" spans="1:3" x14ac:dyDescent="0.35">
      <c r="A110" s="45" t="s">
        <v>176</v>
      </c>
      <c r="B110" s="46"/>
      <c r="C110" s="46"/>
    </row>
    <row r="111" spans="1:3" x14ac:dyDescent="0.35">
      <c r="A111" s="52" t="s">
        <v>57</v>
      </c>
      <c r="B111" s="53">
        <v>153157</v>
      </c>
      <c r="C111" s="53">
        <v>192176</v>
      </c>
    </row>
    <row r="112" spans="1:3" x14ac:dyDescent="0.35">
      <c r="A112" s="45" t="s">
        <v>177</v>
      </c>
      <c r="B112" s="46"/>
      <c r="C112" s="46"/>
    </row>
    <row r="113" spans="1:3" x14ac:dyDescent="0.35">
      <c r="A113" s="52" t="s">
        <v>60</v>
      </c>
      <c r="B113" s="53">
        <v>256938</v>
      </c>
      <c r="C113" s="53">
        <v>324012</v>
      </c>
    </row>
    <row r="114" spans="1:3" x14ac:dyDescent="0.35">
      <c r="A114" s="45" t="s">
        <v>178</v>
      </c>
      <c r="B114" s="46"/>
      <c r="C114" s="46"/>
    </row>
    <row r="115" spans="1:3" x14ac:dyDescent="0.35">
      <c r="A115" s="47" t="s">
        <v>179</v>
      </c>
      <c r="B115" s="48">
        <v>2442.6799999999998</v>
      </c>
      <c r="C115" s="48">
        <v>2442.6799999999998</v>
      </c>
    </row>
    <row r="116" spans="1:3" x14ac:dyDescent="0.35">
      <c r="A116" s="49" t="s">
        <v>180</v>
      </c>
      <c r="B116" s="48">
        <v>1769.01</v>
      </c>
      <c r="C116" s="48">
        <v>1994.42</v>
      </c>
    </row>
    <row r="117" spans="1:3" x14ac:dyDescent="0.35">
      <c r="A117" s="49" t="s">
        <v>181</v>
      </c>
      <c r="B117" s="48">
        <v>673.66</v>
      </c>
      <c r="C117" s="48">
        <v>448.26</v>
      </c>
    </row>
    <row r="118" spans="1:3" x14ac:dyDescent="0.35">
      <c r="A118" s="47" t="s">
        <v>182</v>
      </c>
      <c r="B118" s="48">
        <v>6000</v>
      </c>
      <c r="C118" s="48">
        <v>6000</v>
      </c>
    </row>
    <row r="119" spans="1:3" x14ac:dyDescent="0.35">
      <c r="A119" s="47" t="s">
        <v>183</v>
      </c>
      <c r="B119" s="48">
        <v>2442.6799999999998</v>
      </c>
      <c r="C119" s="48">
        <v>2442.6799999999998</v>
      </c>
    </row>
    <row r="120" spans="1:3" x14ac:dyDescent="0.35">
      <c r="A120" s="49" t="s">
        <v>184</v>
      </c>
      <c r="B120" s="48">
        <v>1769.01</v>
      </c>
      <c r="C120" s="48">
        <v>1994.42</v>
      </c>
    </row>
    <row r="121" spans="1:3" x14ac:dyDescent="0.35">
      <c r="A121" s="49" t="s">
        <v>185</v>
      </c>
      <c r="B121" s="48">
        <v>673.66</v>
      </c>
      <c r="C121" s="48">
        <v>448.26</v>
      </c>
    </row>
    <row r="122" spans="1:3" x14ac:dyDescent="0.35">
      <c r="A122" s="45" t="s">
        <v>186</v>
      </c>
      <c r="B122" s="46"/>
      <c r="C122" s="46"/>
    </row>
    <row r="123" spans="1:3" x14ac:dyDescent="0.35">
      <c r="A123" s="47" t="s">
        <v>187</v>
      </c>
      <c r="B123" s="51">
        <v>1</v>
      </c>
      <c r="C123" s="51">
        <v>1</v>
      </c>
    </row>
    <row r="124" spans="1:3" x14ac:dyDescent="0.35">
      <c r="A124" s="45" t="s">
        <v>188</v>
      </c>
      <c r="B124" s="46"/>
      <c r="C124" s="46"/>
    </row>
    <row r="125" spans="1:3" x14ac:dyDescent="0.35">
      <c r="A125" s="47" t="s">
        <v>189</v>
      </c>
      <c r="B125" s="48">
        <v>5885</v>
      </c>
      <c r="C125" s="48">
        <v>7467</v>
      </c>
    </row>
    <row r="126" spans="1:3" x14ac:dyDescent="0.35">
      <c r="A126" s="49" t="s">
        <v>190</v>
      </c>
      <c r="B126" s="48">
        <v>5315</v>
      </c>
      <c r="C126" s="48">
        <v>6054</v>
      </c>
    </row>
    <row r="127" spans="1:3" x14ac:dyDescent="0.35">
      <c r="A127" s="49" t="s">
        <v>191</v>
      </c>
      <c r="B127" s="48">
        <v>570</v>
      </c>
      <c r="C127" s="48">
        <v>1413</v>
      </c>
    </row>
    <row r="128" spans="1:3" x14ac:dyDescent="0.35">
      <c r="A128" s="47" t="s">
        <v>192</v>
      </c>
      <c r="B128" s="50">
        <v>147229</v>
      </c>
      <c r="C128" s="50">
        <v>218316</v>
      </c>
    </row>
    <row r="129" spans="1:3" x14ac:dyDescent="0.35">
      <c r="A129" s="45" t="s">
        <v>193</v>
      </c>
      <c r="B129" s="46"/>
      <c r="C129" s="46"/>
    </row>
    <row r="130" spans="1:3" x14ac:dyDescent="0.35">
      <c r="A130" s="47" t="s">
        <v>194</v>
      </c>
      <c r="B130" s="48">
        <v>5070</v>
      </c>
      <c r="C130" s="48">
        <v>5985</v>
      </c>
    </row>
    <row r="131" spans="1:3" x14ac:dyDescent="0.35">
      <c r="A131" s="49" t="s">
        <v>195</v>
      </c>
      <c r="B131" s="48">
        <v>1519</v>
      </c>
      <c r="C131" s="48">
        <v>1831</v>
      </c>
    </row>
    <row r="132" spans="1:3" x14ac:dyDescent="0.35">
      <c r="A132" s="49" t="s">
        <v>196</v>
      </c>
      <c r="B132" s="48">
        <v>3551</v>
      </c>
      <c r="C132" s="48">
        <v>4154</v>
      </c>
    </row>
    <row r="133" spans="1:3" x14ac:dyDescent="0.35">
      <c r="A133" s="47" t="s">
        <v>197</v>
      </c>
      <c r="B133" s="48">
        <v>5674</v>
      </c>
      <c r="C133" s="48">
        <v>7430</v>
      </c>
    </row>
    <row r="134" spans="1:3" x14ac:dyDescent="0.35">
      <c r="A134" s="47" t="s">
        <v>198</v>
      </c>
      <c r="B134" s="50">
        <v>29611</v>
      </c>
      <c r="C134" s="50">
        <v>46743</v>
      </c>
    </row>
    <row r="135" spans="1:3" x14ac:dyDescent="0.35">
      <c r="A135" s="45" t="s">
        <v>199</v>
      </c>
      <c r="B135" s="46"/>
      <c r="C135" s="46"/>
    </row>
    <row r="136" spans="1:3" x14ac:dyDescent="0.35">
      <c r="A136" s="47" t="s">
        <v>200</v>
      </c>
      <c r="B136" s="48">
        <v>824</v>
      </c>
      <c r="C136" s="48">
        <v>834</v>
      </c>
    </row>
    <row r="137" spans="1:3" x14ac:dyDescent="0.35">
      <c r="A137" s="47" t="s">
        <v>201</v>
      </c>
      <c r="B137" s="50">
        <v>21561</v>
      </c>
      <c r="C137" s="50">
        <v>19110</v>
      </c>
    </row>
    <row r="138" spans="1:3" x14ac:dyDescent="0.35">
      <c r="A138" s="49" t="s">
        <v>202</v>
      </c>
      <c r="B138" s="50">
        <v>20943</v>
      </c>
      <c r="C138" s="50">
        <v>18251</v>
      </c>
    </row>
    <row r="139" spans="1:3" x14ac:dyDescent="0.35">
      <c r="A139" s="49" t="s">
        <v>429</v>
      </c>
      <c r="B139" s="50"/>
      <c r="C139" s="48">
        <v>216</v>
      </c>
    </row>
    <row r="140" spans="1:3" x14ac:dyDescent="0.35">
      <c r="A140" s="47" t="s">
        <v>430</v>
      </c>
      <c r="B140" s="48">
        <v>481</v>
      </c>
      <c r="C140" s="51">
        <v>25</v>
      </c>
    </row>
    <row r="141" spans="1:3" x14ac:dyDescent="0.35">
      <c r="A141" s="47" t="s">
        <v>203</v>
      </c>
      <c r="B141" s="48">
        <v>9820</v>
      </c>
      <c r="C141" s="50">
        <v>10356</v>
      </c>
    </row>
    <row r="142" spans="1:3" x14ac:dyDescent="0.35">
      <c r="A142" s="47" t="s">
        <v>204</v>
      </c>
      <c r="B142" s="48">
        <v>1872</v>
      </c>
      <c r="C142" s="48">
        <v>844</v>
      </c>
    </row>
    <row r="143" spans="1:3" x14ac:dyDescent="0.35">
      <c r="A143" s="47" t="s">
        <v>205</v>
      </c>
      <c r="B143" s="50">
        <v>29046</v>
      </c>
      <c r="C143" s="50">
        <v>28212</v>
      </c>
    </row>
    <row r="144" spans="1:3" x14ac:dyDescent="0.35">
      <c r="A144" s="49" t="s">
        <v>206</v>
      </c>
      <c r="B144" s="50">
        <v>22079</v>
      </c>
      <c r="C144" s="50">
        <v>19280</v>
      </c>
    </row>
    <row r="145" spans="1:3" x14ac:dyDescent="0.35">
      <c r="A145" s="49" t="s">
        <v>207</v>
      </c>
      <c r="B145" s="48">
        <v>6967</v>
      </c>
      <c r="C145" s="48">
        <v>8932</v>
      </c>
    </row>
    <row r="146" spans="1:3" x14ac:dyDescent="0.35">
      <c r="A146" s="45" t="s">
        <v>208</v>
      </c>
      <c r="B146" s="46"/>
      <c r="C146" s="46"/>
    </row>
    <row r="147" spans="1:3" x14ac:dyDescent="0.35">
      <c r="A147" s="47" t="s">
        <v>209</v>
      </c>
      <c r="B147" s="50">
        <v>17756</v>
      </c>
      <c r="C147" s="50">
        <v>34461</v>
      </c>
    </row>
    <row r="148" spans="1:3" x14ac:dyDescent="0.35">
      <c r="A148" s="47" t="s">
        <v>210</v>
      </c>
      <c r="B148" s="50">
        <v>24541</v>
      </c>
      <c r="C148" s="50">
        <v>40758</v>
      </c>
    </row>
    <row r="149" spans="1:3" x14ac:dyDescent="0.35">
      <c r="A149" s="47" t="s">
        <v>211</v>
      </c>
      <c r="B149" s="50">
        <v>0</v>
      </c>
      <c r="C149" s="50">
        <v>0</v>
      </c>
    </row>
    <row r="150" spans="1:3" x14ac:dyDescent="0.35">
      <c r="A150" s="47" t="s">
        <v>213</v>
      </c>
      <c r="B150" s="48">
        <v>8250</v>
      </c>
      <c r="C150" s="50">
        <v>11400</v>
      </c>
    </row>
    <row r="151" spans="1:3" x14ac:dyDescent="0.35">
      <c r="A151" s="45" t="s">
        <v>214</v>
      </c>
      <c r="B151" s="46"/>
      <c r="C151" s="46"/>
    </row>
    <row r="152" spans="1:3" x14ac:dyDescent="0.35">
      <c r="A152" s="47" t="s">
        <v>215</v>
      </c>
      <c r="B152" s="50">
        <v>14836</v>
      </c>
      <c r="C152" s="50">
        <v>30922</v>
      </c>
    </row>
    <row r="153" spans="1:3" x14ac:dyDescent="0.35">
      <c r="A153" s="49" t="s">
        <v>216</v>
      </c>
      <c r="B153" s="48">
        <v>4012</v>
      </c>
      <c r="C153" s="48">
        <v>2345</v>
      </c>
    </row>
    <row r="154" spans="1:3" x14ac:dyDescent="0.35">
      <c r="A154" s="49" t="s">
        <v>217</v>
      </c>
      <c r="B154" s="48">
        <v>2290</v>
      </c>
      <c r="C154" s="48">
        <v>5723</v>
      </c>
    </row>
    <row r="155" spans="1:3" x14ac:dyDescent="0.35">
      <c r="A155" s="49" t="s">
        <v>218</v>
      </c>
      <c r="B155" s="48">
        <v>2153</v>
      </c>
      <c r="C155" s="48">
        <v>4752</v>
      </c>
    </row>
    <row r="156" spans="1:3" x14ac:dyDescent="0.35">
      <c r="A156" s="49" t="s">
        <v>219</v>
      </c>
      <c r="B156" s="48">
        <v>600</v>
      </c>
      <c r="C156" s="48">
        <v>1567</v>
      </c>
    </row>
    <row r="157" spans="1:3" x14ac:dyDescent="0.35">
      <c r="A157" s="49" t="s">
        <v>220</v>
      </c>
      <c r="B157" s="48">
        <v>500</v>
      </c>
      <c r="C157" s="48">
        <v>5350</v>
      </c>
    </row>
    <row r="158" spans="1:3" x14ac:dyDescent="0.35">
      <c r="A158" s="49" t="s">
        <v>431</v>
      </c>
      <c r="B158" s="48">
        <v>5281</v>
      </c>
      <c r="C158" s="50">
        <v>11185</v>
      </c>
    </row>
    <row r="159" spans="1:3" x14ac:dyDescent="0.35">
      <c r="A159" s="47" t="s">
        <v>221</v>
      </c>
      <c r="B159" s="48">
        <v>4443</v>
      </c>
      <c r="C159" s="50">
        <v>10475</v>
      </c>
    </row>
    <row r="160" spans="1:3" x14ac:dyDescent="0.35">
      <c r="A160" s="47" t="s">
        <v>222</v>
      </c>
      <c r="B160" s="48">
        <v>1100</v>
      </c>
      <c r="C160" s="48">
        <v>6917</v>
      </c>
    </row>
    <row r="161" spans="1:3" x14ac:dyDescent="0.35">
      <c r="A161" s="47" t="s">
        <v>432</v>
      </c>
      <c r="B161" s="48">
        <v>5281</v>
      </c>
      <c r="C161" s="50">
        <v>11185</v>
      </c>
    </row>
    <row r="162" spans="1:3" x14ac:dyDescent="0.35">
      <c r="A162" s="45" t="s">
        <v>223</v>
      </c>
      <c r="B162" s="46"/>
      <c r="C162" s="46"/>
    </row>
    <row r="163" spans="1:3" x14ac:dyDescent="0.35">
      <c r="A163" s="47" t="s">
        <v>224</v>
      </c>
      <c r="B163" s="48">
        <v>604</v>
      </c>
      <c r="C163" s="48">
        <v>1445</v>
      </c>
    </row>
    <row r="164" spans="1:3" x14ac:dyDescent="0.35">
      <c r="A164" s="49" t="s">
        <v>225</v>
      </c>
      <c r="B164" s="51">
        <v>83</v>
      </c>
      <c r="C164" s="48">
        <v>825</v>
      </c>
    </row>
    <row r="165" spans="1:3" x14ac:dyDescent="0.35">
      <c r="A165" s="49" t="s">
        <v>226</v>
      </c>
      <c r="B165" s="51">
        <v>80</v>
      </c>
      <c r="C165" s="51">
        <v>98</v>
      </c>
    </row>
    <row r="166" spans="1:3" x14ac:dyDescent="0.35">
      <c r="A166" s="49" t="s">
        <v>227</v>
      </c>
      <c r="B166" s="51">
        <v>73</v>
      </c>
      <c r="C166" s="51">
        <v>96</v>
      </c>
    </row>
    <row r="167" spans="1:3" x14ac:dyDescent="0.35">
      <c r="A167" s="49" t="s">
        <v>228</v>
      </c>
      <c r="B167" s="51">
        <v>69</v>
      </c>
      <c r="C167" s="51">
        <v>93</v>
      </c>
    </row>
    <row r="168" spans="1:3" x14ac:dyDescent="0.35">
      <c r="A168" s="49" t="s">
        <v>229</v>
      </c>
      <c r="B168" s="51">
        <v>64</v>
      </c>
      <c r="C168" s="51">
        <v>83</v>
      </c>
    </row>
    <row r="169" spans="1:3" x14ac:dyDescent="0.35">
      <c r="A169" s="49" t="s">
        <v>230</v>
      </c>
      <c r="B169" s="48">
        <v>445</v>
      </c>
      <c r="C169" s="48">
        <v>524</v>
      </c>
    </row>
    <row r="170" spans="1:3" x14ac:dyDescent="0.35">
      <c r="A170" s="49" t="s">
        <v>231</v>
      </c>
      <c r="B170" s="48">
        <v>210</v>
      </c>
      <c r="C170" s="48">
        <v>274</v>
      </c>
    </row>
    <row r="171" spans="1:3" x14ac:dyDescent="0.35">
      <c r="A171" s="47" t="s">
        <v>232</v>
      </c>
      <c r="B171" s="48">
        <v>153</v>
      </c>
      <c r="C171" s="48">
        <v>194</v>
      </c>
    </row>
    <row r="172" spans="1:3" x14ac:dyDescent="0.35">
      <c r="A172" s="47" t="s">
        <v>233</v>
      </c>
      <c r="B172" s="48">
        <v>133</v>
      </c>
      <c r="C172" s="48">
        <v>176</v>
      </c>
    </row>
    <row r="173" spans="1:3" x14ac:dyDescent="0.35">
      <c r="A173" s="47" t="s">
        <v>234</v>
      </c>
      <c r="B173" s="48">
        <v>445</v>
      </c>
      <c r="C173" s="48">
        <v>524</v>
      </c>
    </row>
    <row r="174" spans="1:3" x14ac:dyDescent="0.35">
      <c r="A174" s="45" t="s">
        <v>235</v>
      </c>
      <c r="B174" s="46"/>
      <c r="C174" s="46"/>
    </row>
    <row r="175" spans="1:3" x14ac:dyDescent="0.35">
      <c r="A175" s="47" t="s">
        <v>236</v>
      </c>
      <c r="B175" s="51">
        <v>6.3</v>
      </c>
      <c r="C175" s="51">
        <v>6.6</v>
      </c>
    </row>
    <row r="176" spans="1:3" x14ac:dyDescent="0.35">
      <c r="A176" s="47" t="s">
        <v>237</v>
      </c>
      <c r="B176" s="51">
        <v>13.2</v>
      </c>
      <c r="C176" s="51">
        <v>6.5</v>
      </c>
    </row>
    <row r="177" spans="1:3" x14ac:dyDescent="0.35">
      <c r="A177" s="47" t="s">
        <v>238</v>
      </c>
      <c r="B177" s="56">
        <v>0</v>
      </c>
      <c r="C177" s="56">
        <v>0</v>
      </c>
    </row>
    <row r="178" spans="1:3" x14ac:dyDescent="0.35">
      <c r="A178" s="47" t="s">
        <v>239</v>
      </c>
      <c r="B178" s="56">
        <v>0</v>
      </c>
      <c r="C178" s="56">
        <v>0</v>
      </c>
    </row>
    <row r="179" spans="1:3" x14ac:dyDescent="0.35">
      <c r="A179" s="45" t="s">
        <v>82</v>
      </c>
      <c r="B179" s="46"/>
      <c r="C179" s="46"/>
    </row>
    <row r="180" spans="1:3" x14ac:dyDescent="0.35">
      <c r="A180" s="47" t="s">
        <v>433</v>
      </c>
      <c r="B180" s="48">
        <v>839</v>
      </c>
      <c r="C180" s="48">
        <v>5726</v>
      </c>
    </row>
    <row r="181" spans="1:3" x14ac:dyDescent="0.35">
      <c r="A181" s="47" t="s">
        <v>240</v>
      </c>
      <c r="B181" s="54">
        <v>-4428</v>
      </c>
      <c r="C181" s="54">
        <v>-1128</v>
      </c>
    </row>
    <row r="182" spans="1:3" x14ac:dyDescent="0.35">
      <c r="A182" s="47" t="s">
        <v>241</v>
      </c>
      <c r="B182" s="50">
        <v>244702</v>
      </c>
      <c r="C182" s="50">
        <v>312116</v>
      </c>
    </row>
    <row r="183" spans="1:3" x14ac:dyDescent="0.35">
      <c r="A183" s="47" t="s">
        <v>242</v>
      </c>
      <c r="B183" s="48">
        <v>6781</v>
      </c>
      <c r="C183" s="48">
        <v>6293</v>
      </c>
    </row>
    <row r="184" spans="1:3" x14ac:dyDescent="0.35">
      <c r="A184" s="47" t="s">
        <v>243</v>
      </c>
      <c r="B184" s="48">
        <v>6785</v>
      </c>
      <c r="C184" s="48">
        <v>6297</v>
      </c>
    </row>
    <row r="185" spans="1:3" x14ac:dyDescent="0.35">
      <c r="A185" s="47" t="s">
        <v>244</v>
      </c>
      <c r="B185" s="50">
        <v>25380</v>
      </c>
      <c r="C185" s="50">
        <v>46484</v>
      </c>
    </row>
    <row r="186" spans="1:3" x14ac:dyDescent="0.35">
      <c r="A186" s="47" t="s">
        <v>245</v>
      </c>
      <c r="B186" s="50">
        <v>47438</v>
      </c>
      <c r="C186" s="50">
        <v>43867</v>
      </c>
    </row>
    <row r="187" spans="1:3" x14ac:dyDescent="0.35">
      <c r="A187" s="47" t="s">
        <v>246</v>
      </c>
      <c r="B187" s="50">
        <v>170913</v>
      </c>
      <c r="C187" s="50">
        <v>226637</v>
      </c>
    </row>
    <row r="188" spans="1:3" x14ac:dyDescent="0.35">
      <c r="A188" s="47" t="s">
        <v>247</v>
      </c>
      <c r="B188" s="50">
        <v>170913</v>
      </c>
      <c r="C188" s="50">
        <v>226637</v>
      </c>
    </row>
    <row r="189" spans="1:3" x14ac:dyDescent="0.35">
      <c r="A189" s="47" t="s">
        <v>248</v>
      </c>
      <c r="B189" s="50">
        <v>22994</v>
      </c>
      <c r="C189" s="50">
        <v>34125</v>
      </c>
    </row>
    <row r="190" spans="1:3" x14ac:dyDescent="0.35">
      <c r="A190" s="47" t="s">
        <v>249</v>
      </c>
      <c r="B190" s="50">
        <v>152318</v>
      </c>
      <c r="C190" s="50">
        <v>186450</v>
      </c>
    </row>
    <row r="191" spans="1:3" x14ac:dyDescent="0.35">
      <c r="A191" s="47" t="s">
        <v>250</v>
      </c>
      <c r="B191" s="50">
        <v>148579</v>
      </c>
      <c r="C191" s="50">
        <v>187608</v>
      </c>
    </row>
    <row r="192" spans="1:3" x14ac:dyDescent="0.35">
      <c r="A192" s="47" t="s">
        <v>251</v>
      </c>
      <c r="B192" s="50">
        <v>147740</v>
      </c>
      <c r="C192" s="50">
        <v>181882</v>
      </c>
    </row>
    <row r="193" spans="1:3" x14ac:dyDescent="0.35">
      <c r="A193" s="47" t="s">
        <v>252</v>
      </c>
      <c r="B193" s="50">
        <v>176859</v>
      </c>
      <c r="C193" s="50">
        <v>227208</v>
      </c>
    </row>
    <row r="194" spans="1:3" x14ac:dyDescent="0.35">
      <c r="A194" s="47" t="s">
        <v>253</v>
      </c>
      <c r="B194" s="50">
        <v>177698</v>
      </c>
      <c r="C194" s="50">
        <v>232934</v>
      </c>
    </row>
    <row r="195" spans="1:3" x14ac:dyDescent="0.35">
      <c r="A195" s="47" t="s">
        <v>254</v>
      </c>
      <c r="B195" s="50">
        <v>218380</v>
      </c>
      <c r="C195" s="50">
        <v>290625</v>
      </c>
    </row>
    <row r="196" spans="1:3" x14ac:dyDescent="0.35">
      <c r="A196" s="47" t="s">
        <v>255</v>
      </c>
      <c r="B196" s="50">
        <v>210572</v>
      </c>
      <c r="C196" s="50">
        <v>279857</v>
      </c>
    </row>
    <row r="197" spans="1:3" x14ac:dyDescent="0.35">
      <c r="A197" s="47" t="s">
        <v>256</v>
      </c>
      <c r="B197" s="48">
        <v>2353</v>
      </c>
      <c r="C197" s="48">
        <v>5165</v>
      </c>
    </row>
    <row r="198" spans="1:3" x14ac:dyDescent="0.35">
      <c r="A198" s="47" t="s">
        <v>257</v>
      </c>
      <c r="B198" s="54">
        <v>-4432</v>
      </c>
      <c r="C198" s="54">
        <v>-1132</v>
      </c>
    </row>
    <row r="199" spans="1:3" x14ac:dyDescent="0.35">
      <c r="A199" s="47" t="s">
        <v>434</v>
      </c>
      <c r="B199" s="48">
        <v>3787</v>
      </c>
      <c r="C199" s="48">
        <v>6514</v>
      </c>
    </row>
    <row r="200" spans="1:3" x14ac:dyDescent="0.35">
      <c r="A200" s="47" t="s">
        <v>258</v>
      </c>
      <c r="B200" s="50">
        <v>152558</v>
      </c>
      <c r="C200" s="50">
        <v>186690</v>
      </c>
    </row>
    <row r="201" spans="1:3" x14ac:dyDescent="0.35">
      <c r="A201" s="45" t="s">
        <v>259</v>
      </c>
      <c r="B201" s="46"/>
      <c r="C201" s="46"/>
    </row>
    <row r="202" spans="1:3" x14ac:dyDescent="0.35">
      <c r="A202" s="47" t="s">
        <v>260</v>
      </c>
      <c r="B202" s="50">
        <v>95000</v>
      </c>
      <c r="C202" s="50">
        <v>91000</v>
      </c>
    </row>
    <row r="203" spans="1:3" x14ac:dyDescent="0.35">
      <c r="A203" s="45" t="s">
        <v>261</v>
      </c>
      <c r="B203" s="46"/>
      <c r="C203" s="46"/>
    </row>
    <row r="204" spans="1:3" x14ac:dyDescent="0.35">
      <c r="A204" s="47" t="s">
        <v>262</v>
      </c>
      <c r="B204" s="48">
        <v>5070</v>
      </c>
      <c r="C204" s="48">
        <v>5985</v>
      </c>
    </row>
    <row r="205" spans="1:3" x14ac:dyDescent="0.35">
      <c r="A205" s="49" t="s">
        <v>263</v>
      </c>
      <c r="B205" s="48">
        <v>1665</v>
      </c>
      <c r="C205" s="48">
        <v>2017</v>
      </c>
    </row>
    <row r="206" spans="1:3" x14ac:dyDescent="0.35">
      <c r="A206" s="49" t="s">
        <v>264</v>
      </c>
      <c r="B206" s="48">
        <v>1162</v>
      </c>
      <c r="C206" s="48">
        <v>1369</v>
      </c>
    </row>
    <row r="207" spans="1:3" x14ac:dyDescent="0.35">
      <c r="A207" s="49" t="s">
        <v>265</v>
      </c>
      <c r="B207" s="48">
        <v>833</v>
      </c>
      <c r="C207" s="48">
        <v>898</v>
      </c>
    </row>
    <row r="208" spans="1:3" x14ac:dyDescent="0.35">
      <c r="A208" s="49" t="s">
        <v>266</v>
      </c>
      <c r="B208" s="48">
        <v>555</v>
      </c>
      <c r="C208" s="48">
        <v>551</v>
      </c>
    </row>
    <row r="209" spans="1:3" x14ac:dyDescent="0.35">
      <c r="A209" s="49" t="s">
        <v>267</v>
      </c>
      <c r="B209" s="48">
        <v>275</v>
      </c>
      <c r="C209" s="48">
        <v>365</v>
      </c>
    </row>
    <row r="210" spans="1:3" x14ac:dyDescent="0.35">
      <c r="A210" s="49" t="s">
        <v>268</v>
      </c>
      <c r="B210" s="48">
        <v>1276</v>
      </c>
      <c r="C210" s="48">
        <v>1701</v>
      </c>
    </row>
    <row r="211" spans="1:3" x14ac:dyDescent="0.35">
      <c r="A211" s="49" t="s">
        <v>269</v>
      </c>
      <c r="B211" s="48">
        <v>696</v>
      </c>
      <c r="C211" s="48">
        <v>916</v>
      </c>
    </row>
    <row r="212" spans="1:3" x14ac:dyDescent="0.35">
      <c r="A212" s="47" t="s">
        <v>270</v>
      </c>
      <c r="B212" s="48">
        <v>1995</v>
      </c>
      <c r="C212" s="48">
        <v>2267</v>
      </c>
    </row>
    <row r="213" spans="1:3" x14ac:dyDescent="0.35">
      <c r="A213" s="47" t="s">
        <v>271</v>
      </c>
      <c r="B213" s="48">
        <v>830</v>
      </c>
      <c r="C213" s="48">
        <v>916</v>
      </c>
    </row>
    <row r="214" spans="1:3" x14ac:dyDescent="0.35">
      <c r="A214" s="47" t="s">
        <v>272</v>
      </c>
      <c r="B214" s="48">
        <v>1276</v>
      </c>
      <c r="C214" s="48">
        <v>1701</v>
      </c>
    </row>
    <row r="215" spans="1:3" x14ac:dyDescent="0.35">
      <c r="A215" s="45" t="s">
        <v>273</v>
      </c>
      <c r="B215" s="46"/>
      <c r="C215" s="46"/>
    </row>
    <row r="216" spans="1:3" x14ac:dyDescent="0.35">
      <c r="A216" s="47" t="s">
        <v>274</v>
      </c>
      <c r="B216" s="50">
        <v>45298</v>
      </c>
      <c r="C216" s="50">
        <v>43039</v>
      </c>
    </row>
    <row r="217" spans="1:3" x14ac:dyDescent="0.35">
      <c r="A217" s="47" t="s">
        <v>275</v>
      </c>
      <c r="B217" s="50">
        <v>45298</v>
      </c>
      <c r="C217" s="50">
        <v>43039</v>
      </c>
    </row>
    <row r="218" spans="1:3" x14ac:dyDescent="0.35">
      <c r="A218"/>
      <c r="B218"/>
      <c r="C218"/>
    </row>
    <row r="219" spans="1:3" x14ac:dyDescent="0.35">
      <c r="A219"/>
      <c r="B219"/>
      <c r="C219"/>
    </row>
    <row r="220" spans="1:3" x14ac:dyDescent="0.35">
      <c r="A220"/>
      <c r="B220"/>
      <c r="C220"/>
    </row>
    <row r="221" spans="1:3" x14ac:dyDescent="0.35">
      <c r="A221" s="39" t="s">
        <v>110</v>
      </c>
      <c r="B221" s="40" t="s">
        <v>111</v>
      </c>
      <c r="C221" s="40" t="s">
        <v>112</v>
      </c>
    </row>
    <row r="222" spans="1:3" x14ac:dyDescent="0.35">
      <c r="A222" s="41" t="s">
        <v>113</v>
      </c>
      <c r="B222" s="42">
        <v>45657</v>
      </c>
      <c r="C222" s="42">
        <v>46022</v>
      </c>
    </row>
    <row r="223" spans="1:3" x14ac:dyDescent="0.35">
      <c r="A223" s="41" t="s">
        <v>114</v>
      </c>
      <c r="B223" s="42" t="s">
        <v>115</v>
      </c>
      <c r="C223" s="42" t="s">
        <v>115</v>
      </c>
    </row>
    <row r="224" spans="1:3" x14ac:dyDescent="0.35">
      <c r="A224" s="43" t="s">
        <v>276</v>
      </c>
      <c r="B224" s="39"/>
      <c r="C224" s="39"/>
    </row>
    <row r="225" spans="1:3" x14ac:dyDescent="0.35">
      <c r="A225" s="43" t="s">
        <v>117</v>
      </c>
      <c r="B225" s="44" t="s">
        <v>118</v>
      </c>
      <c r="C225" s="44" t="s">
        <v>119</v>
      </c>
    </row>
    <row r="226" spans="1:3" x14ac:dyDescent="0.35">
      <c r="A226" s="45" t="s">
        <v>277</v>
      </c>
      <c r="B226" s="46"/>
      <c r="C226" s="46"/>
    </row>
    <row r="227" spans="1:3" x14ac:dyDescent="0.35">
      <c r="A227" s="47" t="s">
        <v>278</v>
      </c>
      <c r="B227" s="50">
        <v>193414</v>
      </c>
      <c r="C227" s="50">
        <v>184432</v>
      </c>
    </row>
    <row r="228" spans="1:3" x14ac:dyDescent="0.35">
      <c r="A228" s="49" t="s">
        <v>279</v>
      </c>
      <c r="B228" s="50">
        <v>193414</v>
      </c>
      <c r="C228" s="50">
        <v>184432</v>
      </c>
    </row>
    <row r="229" spans="1:3" x14ac:dyDescent="0.35">
      <c r="A229" s="52" t="s">
        <v>64</v>
      </c>
      <c r="B229" s="53">
        <v>193414</v>
      </c>
      <c r="C229" s="53">
        <v>184432</v>
      </c>
    </row>
    <row r="230" spans="1:3" x14ac:dyDescent="0.35">
      <c r="A230" s="45" t="s">
        <v>280</v>
      </c>
      <c r="B230" s="46"/>
      <c r="C230" s="46"/>
    </row>
    <row r="231" spans="1:3" x14ac:dyDescent="0.35">
      <c r="A231" s="47" t="s">
        <v>281</v>
      </c>
      <c r="B231" s="50">
        <v>136488</v>
      </c>
      <c r="C231" s="50">
        <v>127593</v>
      </c>
    </row>
    <row r="232" spans="1:3" x14ac:dyDescent="0.35">
      <c r="A232" s="49" t="s">
        <v>282</v>
      </c>
      <c r="B232" s="50">
        <v>136488</v>
      </c>
      <c r="C232" s="50">
        <v>127593</v>
      </c>
    </row>
    <row r="233" spans="1:3" x14ac:dyDescent="0.35">
      <c r="A233" s="49" t="s">
        <v>284</v>
      </c>
      <c r="B233" s="50">
        <v>17282</v>
      </c>
      <c r="C233" s="50">
        <v>19379</v>
      </c>
    </row>
    <row r="234" spans="1:3" x14ac:dyDescent="0.35">
      <c r="A234" s="49" t="s">
        <v>435</v>
      </c>
      <c r="B234" s="50">
        <v>119206</v>
      </c>
      <c r="C234" s="50">
        <v>108214</v>
      </c>
    </row>
    <row r="235" spans="1:3" x14ac:dyDescent="0.35">
      <c r="A235" s="49" t="s">
        <v>436</v>
      </c>
      <c r="B235" s="50">
        <v>119206</v>
      </c>
      <c r="C235" s="50">
        <v>108214</v>
      </c>
    </row>
    <row r="236" spans="1:3" x14ac:dyDescent="0.35">
      <c r="A236" s="52" t="s">
        <v>68</v>
      </c>
      <c r="B236" s="53">
        <v>56926</v>
      </c>
      <c r="C236" s="53">
        <v>56839</v>
      </c>
    </row>
    <row r="237" spans="1:3" x14ac:dyDescent="0.35">
      <c r="A237" s="47" t="s">
        <v>286</v>
      </c>
      <c r="B237" s="50">
        <v>10271</v>
      </c>
      <c r="C237" s="50">
        <v>11407</v>
      </c>
    </row>
    <row r="238" spans="1:3" x14ac:dyDescent="0.35">
      <c r="A238" s="49" t="s">
        <v>287</v>
      </c>
      <c r="B238" s="48">
        <v>4560</v>
      </c>
      <c r="C238" s="48">
        <v>5126</v>
      </c>
    </row>
    <row r="239" spans="1:3" x14ac:dyDescent="0.35">
      <c r="A239" s="49" t="s">
        <v>288</v>
      </c>
      <c r="B239" s="48">
        <v>995</v>
      </c>
      <c r="C239" s="48">
        <v>1051</v>
      </c>
    </row>
    <row r="240" spans="1:3" x14ac:dyDescent="0.35">
      <c r="A240" s="49" t="s">
        <v>289</v>
      </c>
      <c r="B240" s="48">
        <v>4716</v>
      </c>
      <c r="C240" s="48">
        <v>5230</v>
      </c>
    </row>
    <row r="241" spans="1:3" x14ac:dyDescent="0.35">
      <c r="A241" s="49" t="s">
        <v>290</v>
      </c>
      <c r="B241" s="48">
        <v>4716</v>
      </c>
      <c r="C241" s="48">
        <v>5230</v>
      </c>
    </row>
    <row r="242" spans="1:3" x14ac:dyDescent="0.35">
      <c r="A242" s="47" t="s">
        <v>291</v>
      </c>
      <c r="B242" s="50">
        <v>21976</v>
      </c>
      <c r="C242" s="50">
        <v>26663</v>
      </c>
    </row>
    <row r="243" spans="1:3" x14ac:dyDescent="0.35">
      <c r="A243" s="47" t="s">
        <v>76</v>
      </c>
      <c r="B243" s="50">
        <v>168735</v>
      </c>
      <c r="C243" s="50">
        <v>165663</v>
      </c>
    </row>
    <row r="244" spans="1:3" x14ac:dyDescent="0.35">
      <c r="A244" s="45" t="s">
        <v>292</v>
      </c>
      <c r="B244" s="46"/>
      <c r="C244" s="46"/>
    </row>
    <row r="245" spans="1:3" x14ac:dyDescent="0.35">
      <c r="A245" s="52" t="s">
        <v>293</v>
      </c>
      <c r="B245" s="53">
        <v>24679</v>
      </c>
      <c r="C245" s="53">
        <v>18769</v>
      </c>
    </row>
    <row r="246" spans="1:3" x14ac:dyDescent="0.35">
      <c r="A246" s="45" t="s">
        <v>294</v>
      </c>
      <c r="B246" s="46"/>
      <c r="C246" s="46"/>
    </row>
    <row r="247" spans="1:3" x14ac:dyDescent="0.35">
      <c r="A247" s="47" t="s">
        <v>295</v>
      </c>
      <c r="B247" s="54">
        <v>-594</v>
      </c>
      <c r="C247" s="54">
        <v>-1580</v>
      </c>
    </row>
    <row r="248" spans="1:3" x14ac:dyDescent="0.35">
      <c r="A248" s="49" t="s">
        <v>81</v>
      </c>
      <c r="B248" s="48">
        <v>594</v>
      </c>
      <c r="C248" s="48">
        <v>960</v>
      </c>
    </row>
    <row r="249" spans="1:3" x14ac:dyDescent="0.35">
      <c r="A249" s="49" t="s">
        <v>296</v>
      </c>
      <c r="B249" s="50"/>
      <c r="C249" s="48">
        <v>257</v>
      </c>
    </row>
    <row r="250" spans="1:3" x14ac:dyDescent="0.35">
      <c r="A250" s="49" t="s">
        <v>297</v>
      </c>
      <c r="B250" s="48">
        <v>594</v>
      </c>
      <c r="C250" s="48">
        <v>1217</v>
      </c>
    </row>
    <row r="251" spans="1:3" x14ac:dyDescent="0.35">
      <c r="A251" s="49" t="s">
        <v>298</v>
      </c>
      <c r="B251" s="48">
        <v>773</v>
      </c>
      <c r="C251" s="48">
        <v>1392</v>
      </c>
    </row>
    <row r="252" spans="1:3" x14ac:dyDescent="0.35">
      <c r="A252" s="49" t="s">
        <v>299</v>
      </c>
      <c r="B252" s="48">
        <v>179</v>
      </c>
      <c r="C252" s="48">
        <v>175</v>
      </c>
    </row>
    <row r="253" spans="1:3" x14ac:dyDescent="0.35">
      <c r="A253" s="49" t="s">
        <v>300</v>
      </c>
      <c r="B253" s="50"/>
      <c r="C253" s="54">
        <v>-620</v>
      </c>
    </row>
    <row r="254" spans="1:3" x14ac:dyDescent="0.35">
      <c r="A254" s="49" t="s">
        <v>302</v>
      </c>
      <c r="B254" s="50"/>
      <c r="C254" s="48">
        <v>620</v>
      </c>
    </row>
    <row r="255" spans="1:3" x14ac:dyDescent="0.35">
      <c r="A255" s="47" t="s">
        <v>437</v>
      </c>
      <c r="B255" s="50"/>
      <c r="C255" s="48">
        <v>400</v>
      </c>
    </row>
    <row r="256" spans="1:3" x14ac:dyDescent="0.35">
      <c r="A256" s="47" t="s">
        <v>303</v>
      </c>
      <c r="B256" s="48">
        <v>4596</v>
      </c>
      <c r="C256" s="48">
        <v>3000</v>
      </c>
    </row>
    <row r="257" spans="1:3" x14ac:dyDescent="0.35">
      <c r="A257" s="47" t="s">
        <v>438</v>
      </c>
      <c r="B257" s="48">
        <v>305</v>
      </c>
      <c r="C257" s="54">
        <v>-135</v>
      </c>
    </row>
    <row r="258" spans="1:3" x14ac:dyDescent="0.35">
      <c r="A258" s="49" t="s">
        <v>439</v>
      </c>
      <c r="B258" s="48">
        <v>500</v>
      </c>
      <c r="C258" s="48">
        <v>578</v>
      </c>
    </row>
    <row r="259" spans="1:3" x14ac:dyDescent="0.35">
      <c r="A259" s="49" t="s">
        <v>440</v>
      </c>
      <c r="B259" s="50"/>
      <c r="C259" s="54">
        <v>-400</v>
      </c>
    </row>
    <row r="260" spans="1:3" x14ac:dyDescent="0.35">
      <c r="A260" s="47" t="s">
        <v>304</v>
      </c>
      <c r="B260" s="50">
        <v>28986</v>
      </c>
      <c r="C260" s="50">
        <v>20454</v>
      </c>
    </row>
    <row r="261" spans="1:3" x14ac:dyDescent="0.35">
      <c r="A261" s="45" t="s">
        <v>305</v>
      </c>
      <c r="B261" s="46"/>
      <c r="C261" s="46"/>
    </row>
    <row r="262" spans="1:3" x14ac:dyDescent="0.35">
      <c r="A262" s="47" t="s">
        <v>306</v>
      </c>
      <c r="B262" s="54">
        <v>-1480</v>
      </c>
      <c r="C262" s="54">
        <v>-711</v>
      </c>
    </row>
    <row r="263" spans="1:3" x14ac:dyDescent="0.35">
      <c r="A263" s="49" t="s">
        <v>307</v>
      </c>
      <c r="B263" s="48">
        <v>500</v>
      </c>
      <c r="C263" s="48">
        <v>133</v>
      </c>
    </row>
    <row r="264" spans="1:3" x14ac:dyDescent="0.35">
      <c r="A264" s="49" t="s">
        <v>308</v>
      </c>
      <c r="B264" s="48">
        <v>500</v>
      </c>
      <c r="C264" s="48">
        <v>133</v>
      </c>
    </row>
    <row r="265" spans="1:3" x14ac:dyDescent="0.35">
      <c r="A265" s="49" t="s">
        <v>310</v>
      </c>
      <c r="B265" s="48">
        <v>980</v>
      </c>
      <c r="C265" s="48">
        <v>355</v>
      </c>
    </row>
    <row r="266" spans="1:3" x14ac:dyDescent="0.35">
      <c r="A266" s="49" t="s">
        <v>441</v>
      </c>
      <c r="B266" s="50"/>
      <c r="C266" s="54">
        <v>-223</v>
      </c>
    </row>
    <row r="267" spans="1:3" x14ac:dyDescent="0.35">
      <c r="A267" s="45" t="s">
        <v>313</v>
      </c>
      <c r="B267" s="46"/>
      <c r="C267" s="46"/>
    </row>
    <row r="268" spans="1:3" x14ac:dyDescent="0.35">
      <c r="A268" s="52" t="s">
        <v>83</v>
      </c>
      <c r="B268" s="53">
        <v>27506</v>
      </c>
      <c r="C268" s="53">
        <v>19743</v>
      </c>
    </row>
    <row r="269" spans="1:3" x14ac:dyDescent="0.35">
      <c r="A269" s="45" t="s">
        <v>314</v>
      </c>
      <c r="B269" s="46"/>
      <c r="C269" s="46"/>
    </row>
    <row r="270" spans="1:3" x14ac:dyDescent="0.35">
      <c r="A270" s="47" t="s">
        <v>84</v>
      </c>
      <c r="B270" s="48">
        <v>9757</v>
      </c>
      <c r="C270" s="48">
        <v>7258</v>
      </c>
    </row>
    <row r="271" spans="1:3" x14ac:dyDescent="0.35">
      <c r="A271" s="49" t="s">
        <v>315</v>
      </c>
      <c r="B271" s="48">
        <v>8517</v>
      </c>
      <c r="C271" s="48">
        <v>6273</v>
      </c>
    </row>
    <row r="272" spans="1:3" x14ac:dyDescent="0.35">
      <c r="A272" s="49" t="s">
        <v>316</v>
      </c>
      <c r="B272" s="48">
        <v>1129</v>
      </c>
      <c r="C272" s="48">
        <v>753</v>
      </c>
    </row>
    <row r="273" spans="1:3" x14ac:dyDescent="0.35">
      <c r="A273" s="49" t="s">
        <v>317</v>
      </c>
      <c r="B273" s="48">
        <v>7388</v>
      </c>
      <c r="C273" s="48">
        <v>5520</v>
      </c>
    </row>
    <row r="274" spans="1:3" x14ac:dyDescent="0.35">
      <c r="A274" s="49" t="s">
        <v>318</v>
      </c>
      <c r="B274" s="48">
        <v>1240</v>
      </c>
      <c r="C274" s="48">
        <v>985</v>
      </c>
    </row>
    <row r="275" spans="1:3" x14ac:dyDescent="0.35">
      <c r="A275" s="49" t="s">
        <v>319</v>
      </c>
      <c r="B275" s="48">
        <v>758</v>
      </c>
      <c r="C275" s="48">
        <v>797</v>
      </c>
    </row>
    <row r="276" spans="1:3" x14ac:dyDescent="0.35">
      <c r="A276" s="49" t="s">
        <v>320</v>
      </c>
      <c r="B276" s="48">
        <v>482</v>
      </c>
      <c r="C276" s="48">
        <v>188</v>
      </c>
    </row>
    <row r="277" spans="1:3" x14ac:dyDescent="0.35">
      <c r="A277" s="45" t="s">
        <v>321</v>
      </c>
      <c r="B277" s="46"/>
      <c r="C277" s="46"/>
    </row>
    <row r="278" spans="1:3" x14ac:dyDescent="0.35">
      <c r="A278" s="47" t="s">
        <v>322</v>
      </c>
      <c r="B278" s="50">
        <v>17749</v>
      </c>
      <c r="C278" s="50">
        <v>12485</v>
      </c>
    </row>
    <row r="279" spans="1:3" x14ac:dyDescent="0.35">
      <c r="A279" s="45" t="s">
        <v>323</v>
      </c>
      <c r="B279" s="46"/>
      <c r="C279" s="46"/>
    </row>
    <row r="280" spans="1:3" x14ac:dyDescent="0.35">
      <c r="A280" s="52" t="s">
        <v>324</v>
      </c>
      <c r="B280" s="53">
        <v>17749</v>
      </c>
      <c r="C280" s="53">
        <v>12485</v>
      </c>
    </row>
    <row r="281" spans="1:3" x14ac:dyDescent="0.35">
      <c r="A281" s="47" t="s">
        <v>327</v>
      </c>
      <c r="B281" s="50">
        <v>17749</v>
      </c>
      <c r="C281" s="50">
        <v>12485</v>
      </c>
    </row>
    <row r="282" spans="1:3" x14ac:dyDescent="0.35">
      <c r="A282" s="47" t="s">
        <v>442</v>
      </c>
      <c r="B282" s="51">
        <v>88</v>
      </c>
      <c r="C282" s="48">
        <v>186</v>
      </c>
    </row>
    <row r="283" spans="1:3" x14ac:dyDescent="0.35">
      <c r="A283" s="47" t="s">
        <v>85</v>
      </c>
      <c r="B283" s="50">
        <v>17661</v>
      </c>
      <c r="C283" s="50">
        <v>12299</v>
      </c>
    </row>
    <row r="284" spans="1:3" x14ac:dyDescent="0.35">
      <c r="A284" s="45" t="s">
        <v>328</v>
      </c>
      <c r="B284" s="46"/>
      <c r="C284" s="46"/>
    </row>
    <row r="285" spans="1:3" x14ac:dyDescent="0.35">
      <c r="A285" s="52" t="s">
        <v>330</v>
      </c>
      <c r="B285" s="53">
        <v>17661</v>
      </c>
      <c r="C285" s="53">
        <v>12299</v>
      </c>
    </row>
    <row r="286" spans="1:3" x14ac:dyDescent="0.35">
      <c r="A286" s="45" t="s">
        <v>331</v>
      </c>
      <c r="B286" s="46"/>
      <c r="C286" s="46"/>
    </row>
    <row r="287" spans="1:3" x14ac:dyDescent="0.35">
      <c r="A287" s="47" t="s">
        <v>332</v>
      </c>
      <c r="B287" s="50">
        <v>17749</v>
      </c>
      <c r="C287" s="50">
        <v>12485</v>
      </c>
    </row>
    <row r="288" spans="1:3" x14ac:dyDescent="0.35">
      <c r="A288" s="47" t="s">
        <v>333</v>
      </c>
      <c r="B288" s="55">
        <v>-67</v>
      </c>
      <c r="C288" s="51">
        <v>60</v>
      </c>
    </row>
    <row r="289" spans="1:3" x14ac:dyDescent="0.35">
      <c r="A289" s="47" t="s">
        <v>334</v>
      </c>
      <c r="B289" s="55">
        <v>-8</v>
      </c>
      <c r="C289" s="51">
        <v>15</v>
      </c>
    </row>
    <row r="290" spans="1:3" x14ac:dyDescent="0.35">
      <c r="A290" s="47" t="s">
        <v>335</v>
      </c>
      <c r="B290" s="55">
        <v>-25</v>
      </c>
      <c r="C290" s="51">
        <v>27</v>
      </c>
    </row>
    <row r="291" spans="1:3" x14ac:dyDescent="0.35">
      <c r="A291" s="47" t="s">
        <v>336</v>
      </c>
      <c r="B291" s="48">
        <v>398</v>
      </c>
      <c r="C291" s="48">
        <v>220</v>
      </c>
    </row>
    <row r="292" spans="1:3" x14ac:dyDescent="0.35">
      <c r="A292" s="47" t="s">
        <v>337</v>
      </c>
      <c r="B292" s="55">
        <v>-98</v>
      </c>
      <c r="C292" s="55">
        <v>-26</v>
      </c>
    </row>
    <row r="293" spans="1:3" x14ac:dyDescent="0.35">
      <c r="A293" s="47" t="s">
        <v>338</v>
      </c>
      <c r="B293" s="48">
        <v>200</v>
      </c>
      <c r="C293" s="48">
        <v>296</v>
      </c>
    </row>
    <row r="294" spans="1:3" x14ac:dyDescent="0.35">
      <c r="A294" s="52" t="s">
        <v>339</v>
      </c>
      <c r="B294" s="53">
        <v>17949</v>
      </c>
      <c r="C294" s="53">
        <v>12781</v>
      </c>
    </row>
    <row r="295" spans="1:3" x14ac:dyDescent="0.35">
      <c r="A295" s="47" t="s">
        <v>443</v>
      </c>
      <c r="B295" s="55">
        <v>-88</v>
      </c>
      <c r="C295" s="54">
        <v>-186</v>
      </c>
    </row>
    <row r="296" spans="1:3" x14ac:dyDescent="0.35">
      <c r="A296" s="47" t="s">
        <v>340</v>
      </c>
      <c r="B296" s="50">
        <v>17861</v>
      </c>
      <c r="C296" s="50">
        <v>12595</v>
      </c>
    </row>
    <row r="297" spans="1:3" x14ac:dyDescent="0.35">
      <c r="A297" s="45" t="s">
        <v>341</v>
      </c>
      <c r="B297" s="46"/>
      <c r="C297" s="46"/>
    </row>
    <row r="298" spans="1:3" x14ac:dyDescent="0.35">
      <c r="A298" s="47" t="s">
        <v>342</v>
      </c>
      <c r="B298" s="50">
        <v>17661</v>
      </c>
      <c r="C298" s="50">
        <v>12299</v>
      </c>
    </row>
    <row r="299" spans="1:3" x14ac:dyDescent="0.35">
      <c r="A299" s="49" t="s">
        <v>343</v>
      </c>
      <c r="B299" s="50">
        <v>17661</v>
      </c>
      <c r="C299" s="50">
        <v>12299</v>
      </c>
    </row>
    <row r="300" spans="1:3" x14ac:dyDescent="0.35">
      <c r="A300" s="49" t="s">
        <v>344</v>
      </c>
      <c r="B300" s="48">
        <v>1810</v>
      </c>
      <c r="C300" s="48">
        <v>1849</v>
      </c>
    </row>
    <row r="301" spans="1:3" x14ac:dyDescent="0.35">
      <c r="A301" s="49" t="s">
        <v>345</v>
      </c>
      <c r="B301" s="51">
        <v>9.76</v>
      </c>
      <c r="C301" s="51">
        <v>6.65</v>
      </c>
    </row>
    <row r="302" spans="1:3" x14ac:dyDescent="0.35">
      <c r="A302" s="49" t="s">
        <v>346</v>
      </c>
      <c r="B302" s="51">
        <v>9.76</v>
      </c>
      <c r="C302" s="51">
        <v>6.65</v>
      </c>
    </row>
    <row r="303" spans="1:3" x14ac:dyDescent="0.35">
      <c r="A303" s="49" t="s">
        <v>347</v>
      </c>
      <c r="B303" s="51">
        <v>10.58</v>
      </c>
      <c r="C303" s="51">
        <v>7.04</v>
      </c>
    </row>
    <row r="304" spans="1:3" x14ac:dyDescent="0.35">
      <c r="A304" s="47" t="s">
        <v>348</v>
      </c>
      <c r="B304" s="50">
        <v>17661</v>
      </c>
      <c r="C304" s="50">
        <v>12299</v>
      </c>
    </row>
    <row r="305" spans="1:3" x14ac:dyDescent="0.35">
      <c r="A305" s="47" t="s">
        <v>349</v>
      </c>
      <c r="B305" s="51">
        <v>1</v>
      </c>
      <c r="C305" s="51">
        <v>1</v>
      </c>
    </row>
    <row r="306" spans="1:3" x14ac:dyDescent="0.35">
      <c r="A306" s="49" t="s">
        <v>350</v>
      </c>
      <c r="B306" s="48">
        <v>1810</v>
      </c>
      <c r="C306" s="48">
        <v>1849</v>
      </c>
    </row>
    <row r="307" spans="1:3" x14ac:dyDescent="0.35">
      <c r="A307" s="49" t="s">
        <v>351</v>
      </c>
      <c r="B307" s="51">
        <v>9.76</v>
      </c>
      <c r="C307" s="51">
        <v>6.65</v>
      </c>
    </row>
    <row r="308" spans="1:3" x14ac:dyDescent="0.35">
      <c r="A308" s="49" t="s">
        <v>352</v>
      </c>
      <c r="B308" s="51">
        <v>9.76</v>
      </c>
      <c r="C308" s="51">
        <v>6.65</v>
      </c>
    </row>
    <row r="309" spans="1:3" x14ac:dyDescent="0.35">
      <c r="A309" s="49" t="s">
        <v>353</v>
      </c>
      <c r="B309" s="51">
        <v>10.58</v>
      </c>
      <c r="C309" s="51">
        <v>7.04</v>
      </c>
    </row>
    <row r="310" spans="1:3" x14ac:dyDescent="0.35">
      <c r="A310" s="47" t="s">
        <v>354</v>
      </c>
      <c r="B310" s="50">
        <v>0</v>
      </c>
      <c r="C310" s="50">
        <v>0</v>
      </c>
    </row>
    <row r="311" spans="1:3" x14ac:dyDescent="0.35">
      <c r="A311" s="47" t="s">
        <v>355</v>
      </c>
      <c r="B311" s="51">
        <v>9.8699999999999992</v>
      </c>
      <c r="C311" s="51">
        <v>6.81</v>
      </c>
    </row>
    <row r="312" spans="1:3" x14ac:dyDescent="0.35">
      <c r="A312" s="45" t="s">
        <v>356</v>
      </c>
      <c r="B312" s="46"/>
      <c r="C312" s="46"/>
    </row>
    <row r="313" spans="1:3" x14ac:dyDescent="0.35">
      <c r="A313" s="47" t="s">
        <v>357</v>
      </c>
      <c r="B313" s="50">
        <v>17661</v>
      </c>
      <c r="C313" s="50">
        <v>12299</v>
      </c>
    </row>
    <row r="314" spans="1:3" x14ac:dyDescent="0.35">
      <c r="A314" s="49" t="s">
        <v>358</v>
      </c>
      <c r="B314" s="50">
        <v>17661</v>
      </c>
      <c r="C314" s="50">
        <v>12299</v>
      </c>
    </row>
    <row r="315" spans="1:3" x14ac:dyDescent="0.35">
      <c r="A315" s="49" t="s">
        <v>359</v>
      </c>
      <c r="B315" s="48">
        <v>1817</v>
      </c>
      <c r="C315" s="48">
        <v>1856</v>
      </c>
    </row>
    <row r="316" spans="1:3" x14ac:dyDescent="0.35">
      <c r="A316" s="49" t="s">
        <v>360</v>
      </c>
      <c r="B316" s="51">
        <v>9.7200000000000006</v>
      </c>
      <c r="C316" s="51">
        <v>6.63</v>
      </c>
    </row>
    <row r="317" spans="1:3" x14ac:dyDescent="0.35">
      <c r="A317" s="49" t="s">
        <v>361</v>
      </c>
      <c r="B317" s="51">
        <v>9.7200000000000006</v>
      </c>
      <c r="C317" s="51">
        <v>6.63</v>
      </c>
    </row>
    <row r="318" spans="1:3" x14ac:dyDescent="0.35">
      <c r="A318" s="49" t="s">
        <v>362</v>
      </c>
      <c r="B318" s="51">
        <v>10.53</v>
      </c>
      <c r="C318" s="51">
        <v>7.01</v>
      </c>
    </row>
    <row r="319" spans="1:3" x14ac:dyDescent="0.35">
      <c r="A319" s="47" t="s">
        <v>363</v>
      </c>
      <c r="B319" s="50">
        <v>17661</v>
      </c>
      <c r="C319" s="50">
        <v>12299</v>
      </c>
    </row>
    <row r="320" spans="1:3" x14ac:dyDescent="0.35">
      <c r="A320" s="47" t="s">
        <v>364</v>
      </c>
      <c r="B320" s="51">
        <v>1</v>
      </c>
      <c r="C320" s="51">
        <v>1</v>
      </c>
    </row>
    <row r="321" spans="1:3" x14ac:dyDescent="0.35">
      <c r="A321" s="49" t="s">
        <v>365</v>
      </c>
      <c r="B321" s="48">
        <v>1817</v>
      </c>
      <c r="C321" s="48">
        <v>1856</v>
      </c>
    </row>
    <row r="322" spans="1:3" x14ac:dyDescent="0.35">
      <c r="A322" s="49" t="s">
        <v>366</v>
      </c>
      <c r="B322" s="51">
        <v>9.7200000000000006</v>
      </c>
      <c r="C322" s="51">
        <v>6.63</v>
      </c>
    </row>
    <row r="323" spans="1:3" x14ac:dyDescent="0.35">
      <c r="A323" s="49" t="s">
        <v>367</v>
      </c>
      <c r="B323" s="51">
        <v>9.7200000000000006</v>
      </c>
      <c r="C323" s="51">
        <v>6.63</v>
      </c>
    </row>
    <row r="324" spans="1:3" x14ac:dyDescent="0.35">
      <c r="A324" s="49" t="s">
        <v>368</v>
      </c>
      <c r="B324" s="51">
        <v>10.53</v>
      </c>
      <c r="C324" s="51">
        <v>7.01</v>
      </c>
    </row>
    <row r="325" spans="1:3" x14ac:dyDescent="0.35">
      <c r="A325" s="47" t="s">
        <v>369</v>
      </c>
      <c r="B325" s="50">
        <v>0</v>
      </c>
      <c r="C325" s="50">
        <v>0</v>
      </c>
    </row>
    <row r="326" spans="1:3" x14ac:dyDescent="0.35">
      <c r="A326" s="47" t="s">
        <v>370</v>
      </c>
      <c r="B326" s="51">
        <v>9.83</v>
      </c>
      <c r="C326" s="51">
        <v>6.79</v>
      </c>
    </row>
    <row r="327" spans="1:3" x14ac:dyDescent="0.35">
      <c r="A327" s="45" t="s">
        <v>371</v>
      </c>
      <c r="B327" s="46"/>
      <c r="C327" s="46"/>
    </row>
    <row r="328" spans="1:3" x14ac:dyDescent="0.35">
      <c r="A328" s="47" t="s">
        <v>372</v>
      </c>
      <c r="B328" s="51">
        <v>6.52</v>
      </c>
      <c r="C328" s="51">
        <v>6.84</v>
      </c>
    </row>
    <row r="329" spans="1:3" x14ac:dyDescent="0.35">
      <c r="A329" s="47" t="s">
        <v>373</v>
      </c>
      <c r="B329" s="51">
        <v>6.52</v>
      </c>
      <c r="C329" s="51">
        <v>6.84</v>
      </c>
    </row>
    <row r="330" spans="1:3" x14ac:dyDescent="0.35">
      <c r="A330" s="45" t="s">
        <v>374</v>
      </c>
      <c r="B330" s="46"/>
      <c r="C330" s="46"/>
    </row>
    <row r="331" spans="1:3" x14ac:dyDescent="0.35">
      <c r="A331" s="47" t="s">
        <v>78</v>
      </c>
      <c r="B331" s="50">
        <v>24679</v>
      </c>
      <c r="C331" s="50">
        <v>18769</v>
      </c>
    </row>
    <row r="332" spans="1:3" x14ac:dyDescent="0.35">
      <c r="A332" s="47" t="s">
        <v>80</v>
      </c>
      <c r="B332" s="50">
        <v>41961</v>
      </c>
      <c r="C332" s="50">
        <v>38148</v>
      </c>
    </row>
    <row r="333" spans="1:3" x14ac:dyDescent="0.35">
      <c r="A333" s="47" t="s">
        <v>375</v>
      </c>
      <c r="B333" s="50">
        <v>42956</v>
      </c>
      <c r="C333" s="50">
        <v>39199</v>
      </c>
    </row>
    <row r="334" spans="1:3" x14ac:dyDescent="0.35">
      <c r="A334" s="47" t="s">
        <v>376</v>
      </c>
      <c r="B334" s="50">
        <v>45408</v>
      </c>
      <c r="C334" s="50">
        <v>41867</v>
      </c>
    </row>
    <row r="335" spans="1:3" x14ac:dyDescent="0.35">
      <c r="A335" s="45" t="s">
        <v>377</v>
      </c>
      <c r="B335" s="46"/>
      <c r="C335" s="46"/>
    </row>
    <row r="336" spans="1:3" x14ac:dyDescent="0.35">
      <c r="A336" s="47" t="s">
        <v>378</v>
      </c>
      <c r="B336" s="51">
        <v>83</v>
      </c>
      <c r="C336" s="48">
        <v>154</v>
      </c>
    </row>
    <row r="337" spans="1:3" x14ac:dyDescent="0.35">
      <c r="A337" s="49" t="s">
        <v>379</v>
      </c>
      <c r="B337" s="51">
        <v>83</v>
      </c>
      <c r="C337" s="48">
        <v>154</v>
      </c>
    </row>
    <row r="338" spans="1:3" x14ac:dyDescent="0.35">
      <c r="A338" s="49" t="s">
        <v>380</v>
      </c>
      <c r="B338" s="51">
        <v>83</v>
      </c>
      <c r="C338" s="48">
        <v>154</v>
      </c>
    </row>
    <row r="339" spans="1:3" x14ac:dyDescent="0.35">
      <c r="A339" s="45" t="s">
        <v>381</v>
      </c>
      <c r="B339" s="46"/>
      <c r="C339" s="46"/>
    </row>
    <row r="340" spans="1:3" x14ac:dyDescent="0.35">
      <c r="A340" s="47" t="s">
        <v>79</v>
      </c>
      <c r="B340" s="50">
        <v>17282</v>
      </c>
      <c r="C340" s="50">
        <v>19379</v>
      </c>
    </row>
    <row r="341" spans="1:3" x14ac:dyDescent="0.35">
      <c r="A341" s="49" t="s">
        <v>382</v>
      </c>
      <c r="B341" s="50">
        <v>17282</v>
      </c>
      <c r="C341" s="50">
        <v>19379</v>
      </c>
    </row>
    <row r="342" spans="1:3" x14ac:dyDescent="0.35">
      <c r="A342" s="45" t="s">
        <v>383</v>
      </c>
      <c r="B342" s="46"/>
      <c r="C342" s="46"/>
    </row>
    <row r="343" spans="1:3" x14ac:dyDescent="0.35">
      <c r="A343" s="47" t="s">
        <v>384</v>
      </c>
      <c r="B343" s="48">
        <v>353</v>
      </c>
      <c r="C343" s="48">
        <v>427</v>
      </c>
    </row>
    <row r="344" spans="1:3" x14ac:dyDescent="0.35">
      <c r="A344" s="49" t="s">
        <v>72</v>
      </c>
      <c r="B344" s="48">
        <v>353</v>
      </c>
      <c r="C344" s="48">
        <v>427</v>
      </c>
    </row>
    <row r="345" spans="1:3" x14ac:dyDescent="0.35">
      <c r="A345" s="45" t="s">
        <v>390</v>
      </c>
      <c r="B345" s="46"/>
      <c r="C345" s="46"/>
    </row>
    <row r="346" spans="1:3" x14ac:dyDescent="0.35">
      <c r="A346" s="47" t="s">
        <v>390</v>
      </c>
      <c r="B346" s="51">
        <v>35.5</v>
      </c>
      <c r="C346" s="51">
        <v>38</v>
      </c>
    </row>
    <row r="347" spans="1:3" x14ac:dyDescent="0.35">
      <c r="A347" s="49" t="s">
        <v>391</v>
      </c>
      <c r="B347" s="51">
        <v>33.1</v>
      </c>
      <c r="C347" s="51">
        <v>35.9</v>
      </c>
    </row>
    <row r="348" spans="1:3" x14ac:dyDescent="0.35">
      <c r="A348" s="49" t="s">
        <v>392</v>
      </c>
      <c r="B348" s="51">
        <v>0.5</v>
      </c>
      <c r="C348" s="51">
        <v>0.3</v>
      </c>
    </row>
    <row r="349" spans="1:3" x14ac:dyDescent="0.35">
      <c r="A349" s="49" t="s">
        <v>444</v>
      </c>
      <c r="B349" s="51">
        <v>1.9</v>
      </c>
      <c r="C349" s="51">
        <v>1.8</v>
      </c>
    </row>
    <row r="350" spans="1:3" x14ac:dyDescent="0.35">
      <c r="A350" s="45" t="s">
        <v>393</v>
      </c>
      <c r="B350" s="46"/>
      <c r="C350" s="46"/>
    </row>
    <row r="351" spans="1:3" x14ac:dyDescent="0.35">
      <c r="A351" s="47" t="s">
        <v>394</v>
      </c>
      <c r="B351" s="50">
        <v>19229</v>
      </c>
      <c r="C351" s="50">
        <v>13196</v>
      </c>
    </row>
    <row r="352" spans="1:3" x14ac:dyDescent="0.35">
      <c r="A352" s="47" t="s">
        <v>395</v>
      </c>
      <c r="B352" s="50">
        <v>19229</v>
      </c>
      <c r="C352" s="50">
        <v>13196</v>
      </c>
    </row>
    <row r="353" spans="1:3" x14ac:dyDescent="0.35">
      <c r="A353" s="47" t="s">
        <v>396</v>
      </c>
      <c r="B353" s="50">
        <v>19141</v>
      </c>
      <c r="C353" s="50">
        <v>13010</v>
      </c>
    </row>
    <row r="354" spans="1:3" x14ac:dyDescent="0.35">
      <c r="A354" s="47" t="s">
        <v>397</v>
      </c>
      <c r="B354" s="50">
        <v>29580</v>
      </c>
      <c r="C354" s="50">
        <v>21414</v>
      </c>
    </row>
    <row r="355" spans="1:3" x14ac:dyDescent="0.35">
      <c r="A355" s="47" t="s">
        <v>398</v>
      </c>
      <c r="B355" s="50">
        <v>46862</v>
      </c>
      <c r="C355" s="50">
        <v>40793</v>
      </c>
    </row>
    <row r="356" spans="1:3" x14ac:dyDescent="0.35">
      <c r="A356" s="45" t="s">
        <v>399</v>
      </c>
      <c r="B356" s="46"/>
      <c r="C356" s="46"/>
    </row>
    <row r="357" spans="1:3" x14ac:dyDescent="0.35">
      <c r="A357" s="47" t="s">
        <v>400</v>
      </c>
      <c r="B357" s="48">
        <v>3530</v>
      </c>
      <c r="C357" s="48">
        <v>3873</v>
      </c>
    </row>
    <row r="358" spans="1:3" x14ac:dyDescent="0.35">
      <c r="A358" s="49" t="s">
        <v>401</v>
      </c>
      <c r="B358" s="48">
        <v>3447</v>
      </c>
      <c r="C358" s="48">
        <v>3719</v>
      </c>
    </row>
    <row r="359" spans="1:3" x14ac:dyDescent="0.35">
      <c r="A359" s="49" t="s">
        <v>402</v>
      </c>
      <c r="B359" s="51">
        <v>83</v>
      </c>
      <c r="C359" s="48">
        <v>154</v>
      </c>
    </row>
    <row r="360" spans="1:3" x14ac:dyDescent="0.35">
      <c r="A360" s="45" t="s">
        <v>82</v>
      </c>
      <c r="B360" s="46"/>
      <c r="C360" s="46"/>
    </row>
    <row r="361" spans="1:3" x14ac:dyDescent="0.35">
      <c r="A361" s="47" t="s">
        <v>405</v>
      </c>
      <c r="B361" s="48">
        <v>3447</v>
      </c>
      <c r="C361" s="48">
        <v>3719</v>
      </c>
    </row>
    <row r="362" spans="1:3" x14ac:dyDescent="0.35">
      <c r="A362" s="47" t="s">
        <v>406</v>
      </c>
      <c r="B362" s="50">
        <v>136488</v>
      </c>
      <c r="C362" s="50">
        <v>127593</v>
      </c>
    </row>
    <row r="363" spans="1:3" x14ac:dyDescent="0.35">
      <c r="A363" s="47" t="s">
        <v>407</v>
      </c>
      <c r="B363" s="50">
        <v>119206</v>
      </c>
      <c r="C363" s="50">
        <v>108214</v>
      </c>
    </row>
    <row r="364" spans="1:3" x14ac:dyDescent="0.35">
      <c r="A364" s="47" t="s">
        <v>408</v>
      </c>
      <c r="B364" s="48">
        <v>594</v>
      </c>
      <c r="C364" s="48">
        <v>1217</v>
      </c>
    </row>
    <row r="365" spans="1:3" x14ac:dyDescent="0.35">
      <c r="A365" s="47" t="s">
        <v>280</v>
      </c>
      <c r="B365" s="50">
        <v>168735</v>
      </c>
      <c r="C365" s="50">
        <v>165663</v>
      </c>
    </row>
    <row r="366" spans="1:3" x14ac:dyDescent="0.35">
      <c r="A366" s="47" t="s">
        <v>70</v>
      </c>
      <c r="B366" s="48">
        <v>9918</v>
      </c>
      <c r="C366" s="50">
        <v>10980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2"/>
  <sheetViews>
    <sheetView workbookViewId="0"/>
  </sheetViews>
  <sheetFormatPr defaultRowHeight="14.5" x14ac:dyDescent="0.35"/>
  <cols>
    <col min="1" max="1" width="90.81640625" style="11" customWidth="1"/>
    <col min="2" max="2" width="28.26953125" style="11" customWidth="1"/>
    <col min="3" max="3" width="9.6328125" style="11" customWidth="1"/>
    <col min="4" max="16384" width="8.7265625" style="11"/>
  </cols>
  <sheetData>
    <row r="1" spans="1:3" x14ac:dyDescent="0.35">
      <c r="A1" s="34" t="s">
        <v>94</v>
      </c>
      <c r="B1" s="35"/>
      <c r="C1" s="35"/>
    </row>
    <row r="2" spans="1:3" x14ac:dyDescent="0.35">
      <c r="A2" s="36" t="s">
        <v>95</v>
      </c>
      <c r="B2" s="37" t="s">
        <v>445</v>
      </c>
      <c r="C2"/>
    </row>
    <row r="3" spans="1:3" x14ac:dyDescent="0.35">
      <c r="A3" s="36" t="s">
        <v>97</v>
      </c>
      <c r="B3" s="36" t="s">
        <v>98</v>
      </c>
      <c r="C3"/>
    </row>
    <row r="4" spans="1:3" x14ac:dyDescent="0.35">
      <c r="A4" s="36" t="s">
        <v>99</v>
      </c>
      <c r="B4" s="36" t="s">
        <v>98</v>
      </c>
      <c r="C4"/>
    </row>
    <row r="5" spans="1:3" x14ac:dyDescent="0.35">
      <c r="A5" s="36" t="s">
        <v>100</v>
      </c>
      <c r="B5" s="36" t="s">
        <v>2</v>
      </c>
      <c r="C5"/>
    </row>
    <row r="6" spans="1:3" x14ac:dyDescent="0.35">
      <c r="A6" s="36" t="s">
        <v>101</v>
      </c>
      <c r="B6" s="36" t="s">
        <v>102</v>
      </c>
      <c r="C6"/>
    </row>
    <row r="7" spans="1:3" x14ac:dyDescent="0.35">
      <c r="A7" s="36" t="s">
        <v>103</v>
      </c>
      <c r="B7" s="36" t="s">
        <v>104</v>
      </c>
      <c r="C7"/>
    </row>
    <row r="8" spans="1:3" x14ac:dyDescent="0.35">
      <c r="A8" s="36" t="s">
        <v>105</v>
      </c>
      <c r="B8" s="36" t="s">
        <v>106</v>
      </c>
      <c r="C8"/>
    </row>
    <row r="9" spans="1:3" x14ac:dyDescent="0.35">
      <c r="A9" s="36" t="s">
        <v>107</v>
      </c>
      <c r="B9" s="36" t="s">
        <v>108</v>
      </c>
      <c r="C9"/>
    </row>
    <row r="10" spans="1:3" x14ac:dyDescent="0.35">
      <c r="A10" s="36" t="s">
        <v>109</v>
      </c>
      <c r="B10" s="38">
        <v>46295.609581481498</v>
      </c>
      <c r="C10"/>
    </row>
    <row r="11" spans="1:3" x14ac:dyDescent="0.35">
      <c r="A11" s="39" t="s">
        <v>110</v>
      </c>
      <c r="B11" s="40" t="s">
        <v>111</v>
      </c>
      <c r="C11" s="40" t="s">
        <v>112</v>
      </c>
    </row>
    <row r="12" spans="1:3" x14ac:dyDescent="0.35">
      <c r="A12" s="41" t="s">
        <v>113</v>
      </c>
      <c r="B12" s="42">
        <v>45657</v>
      </c>
      <c r="C12" s="42">
        <v>46022</v>
      </c>
    </row>
    <row r="13" spans="1:3" x14ac:dyDescent="0.35">
      <c r="A13" s="41" t="s">
        <v>114</v>
      </c>
      <c r="B13" s="42" t="s">
        <v>115</v>
      </c>
      <c r="C13" s="42" t="s">
        <v>115</v>
      </c>
    </row>
    <row r="14" spans="1:3" x14ac:dyDescent="0.35">
      <c r="A14" s="43" t="s">
        <v>116</v>
      </c>
      <c r="B14" s="39"/>
      <c r="C14" s="39"/>
    </row>
    <row r="15" spans="1:3" x14ac:dyDescent="0.35">
      <c r="A15" s="43" t="s">
        <v>117</v>
      </c>
      <c r="B15" s="44" t="s">
        <v>118</v>
      </c>
      <c r="C15" s="44" t="s">
        <v>119</v>
      </c>
    </row>
    <row r="16" spans="1:3" x14ac:dyDescent="0.35">
      <c r="A16" s="45" t="s">
        <v>120</v>
      </c>
      <c r="B16" s="46"/>
      <c r="C16" s="46"/>
    </row>
    <row r="17" spans="1:3" x14ac:dyDescent="0.35">
      <c r="A17" s="47" t="s">
        <v>121</v>
      </c>
      <c r="B17" s="50">
        <v>23029</v>
      </c>
      <c r="C17" s="50">
        <v>10681</v>
      </c>
    </row>
    <row r="18" spans="1:3" x14ac:dyDescent="0.35">
      <c r="A18" s="49" t="s">
        <v>12</v>
      </c>
      <c r="B18" s="50">
        <v>23029</v>
      </c>
      <c r="C18" s="50">
        <v>10681</v>
      </c>
    </row>
    <row r="19" spans="1:3" x14ac:dyDescent="0.35">
      <c r="A19" s="47" t="s">
        <v>122</v>
      </c>
      <c r="B19" s="50">
        <v>43681</v>
      </c>
      <c r="C19" s="50">
        <v>44562</v>
      </c>
    </row>
    <row r="20" spans="1:3" x14ac:dyDescent="0.35">
      <c r="A20" s="49" t="s">
        <v>16</v>
      </c>
      <c r="B20" s="50">
        <v>35282</v>
      </c>
      <c r="C20" s="50">
        <v>35744</v>
      </c>
    </row>
    <row r="21" spans="1:3" x14ac:dyDescent="0.35">
      <c r="A21" s="49" t="s">
        <v>123</v>
      </c>
      <c r="B21" s="50">
        <v>35444</v>
      </c>
      <c r="C21" s="50">
        <v>36014</v>
      </c>
    </row>
    <row r="22" spans="1:3" x14ac:dyDescent="0.35">
      <c r="A22" s="49" t="s">
        <v>124</v>
      </c>
      <c r="B22" s="48">
        <v>162</v>
      </c>
      <c r="C22" s="48">
        <v>270</v>
      </c>
    </row>
    <row r="23" spans="1:3" x14ac:dyDescent="0.35">
      <c r="A23" s="49" t="s">
        <v>446</v>
      </c>
      <c r="B23" s="48">
        <v>8399</v>
      </c>
      <c r="C23" s="48">
        <v>8818</v>
      </c>
    </row>
    <row r="24" spans="1:3" x14ac:dyDescent="0.35">
      <c r="A24" s="47" t="s">
        <v>18</v>
      </c>
      <c r="B24" s="50">
        <v>23524</v>
      </c>
      <c r="C24" s="50">
        <v>26302</v>
      </c>
    </row>
    <row r="25" spans="1:3" x14ac:dyDescent="0.35">
      <c r="A25" s="49" t="s">
        <v>125</v>
      </c>
      <c r="B25" s="48">
        <v>4080</v>
      </c>
      <c r="C25" s="48">
        <v>3323</v>
      </c>
    </row>
    <row r="26" spans="1:3" x14ac:dyDescent="0.35">
      <c r="A26" s="49" t="s">
        <v>126</v>
      </c>
      <c r="B26" s="50">
        <v>19444</v>
      </c>
      <c r="C26" s="50">
        <v>22979</v>
      </c>
    </row>
    <row r="27" spans="1:3" x14ac:dyDescent="0.35">
      <c r="A27" s="47" t="s">
        <v>410</v>
      </c>
      <c r="B27" s="48">
        <v>1756</v>
      </c>
      <c r="C27" s="48">
        <v>1837</v>
      </c>
    </row>
    <row r="28" spans="1:3" x14ac:dyDescent="0.35">
      <c r="A28" s="49" t="s">
        <v>411</v>
      </c>
      <c r="B28" s="48">
        <v>158</v>
      </c>
      <c r="C28" s="50">
        <v>0</v>
      </c>
    </row>
    <row r="29" spans="1:3" x14ac:dyDescent="0.35">
      <c r="A29" s="49" t="s">
        <v>20</v>
      </c>
      <c r="B29" s="48">
        <v>1598</v>
      </c>
      <c r="C29" s="48">
        <v>1837</v>
      </c>
    </row>
    <row r="30" spans="1:3" x14ac:dyDescent="0.35">
      <c r="A30" s="52" t="s">
        <v>22</v>
      </c>
      <c r="B30" s="53">
        <v>91990</v>
      </c>
      <c r="C30" s="53">
        <v>83382</v>
      </c>
    </row>
    <row r="31" spans="1:3" x14ac:dyDescent="0.35">
      <c r="A31" s="45" t="s">
        <v>128</v>
      </c>
      <c r="B31" s="46"/>
      <c r="C31" s="46"/>
    </row>
    <row r="32" spans="1:3" x14ac:dyDescent="0.35">
      <c r="A32" s="47" t="s">
        <v>25</v>
      </c>
      <c r="B32" s="48">
        <v>343</v>
      </c>
      <c r="C32" s="48">
        <v>271</v>
      </c>
    </row>
    <row r="33" spans="1:3" x14ac:dyDescent="0.35">
      <c r="A33" s="49" t="s">
        <v>129</v>
      </c>
      <c r="B33" s="48">
        <v>343</v>
      </c>
      <c r="C33" s="48">
        <v>271</v>
      </c>
    </row>
    <row r="34" spans="1:3" x14ac:dyDescent="0.35">
      <c r="A34" s="47" t="s">
        <v>130</v>
      </c>
      <c r="B34" s="50">
        <v>34010</v>
      </c>
      <c r="C34" s="50">
        <v>32653</v>
      </c>
    </row>
    <row r="35" spans="1:3" x14ac:dyDescent="0.35">
      <c r="A35" s="47" t="s">
        <v>131</v>
      </c>
      <c r="B35" s="50">
        <v>12847</v>
      </c>
      <c r="C35" s="50">
        <v>12393</v>
      </c>
    </row>
    <row r="36" spans="1:3" x14ac:dyDescent="0.35">
      <c r="A36" s="49" t="s">
        <v>132</v>
      </c>
      <c r="B36" s="48">
        <v>5763</v>
      </c>
      <c r="C36" s="48">
        <v>6263</v>
      </c>
    </row>
    <row r="37" spans="1:3" x14ac:dyDescent="0.35">
      <c r="A37" s="49" t="s">
        <v>412</v>
      </c>
      <c r="B37" s="48">
        <v>7084</v>
      </c>
      <c r="C37" s="48">
        <v>6130</v>
      </c>
    </row>
    <row r="38" spans="1:3" x14ac:dyDescent="0.35">
      <c r="A38" s="47" t="s">
        <v>27</v>
      </c>
      <c r="B38" s="50">
        <v>301441</v>
      </c>
      <c r="C38" s="50">
        <v>306597</v>
      </c>
    </row>
    <row r="39" spans="1:3" x14ac:dyDescent="0.35">
      <c r="A39" s="49" t="s">
        <v>133</v>
      </c>
      <c r="B39" s="50">
        <v>301441</v>
      </c>
      <c r="C39" s="50">
        <v>306597</v>
      </c>
    </row>
    <row r="40" spans="1:3" x14ac:dyDescent="0.35">
      <c r="A40" s="49" t="s">
        <v>134</v>
      </c>
      <c r="B40" s="50">
        <v>561026</v>
      </c>
      <c r="C40" s="50">
        <v>577283</v>
      </c>
    </row>
    <row r="41" spans="1:3" x14ac:dyDescent="0.35">
      <c r="A41" s="49" t="s">
        <v>135</v>
      </c>
      <c r="B41" s="50">
        <v>561026</v>
      </c>
      <c r="C41" s="50">
        <v>577283</v>
      </c>
    </row>
    <row r="42" spans="1:3" x14ac:dyDescent="0.35">
      <c r="A42" s="49" t="s">
        <v>447</v>
      </c>
      <c r="B42" s="50">
        <v>530080</v>
      </c>
      <c r="C42" s="50">
        <v>544693</v>
      </c>
    </row>
    <row r="43" spans="1:3" x14ac:dyDescent="0.35">
      <c r="A43" s="49" t="s">
        <v>136</v>
      </c>
      <c r="B43" s="48">
        <v>7123</v>
      </c>
      <c r="C43" s="48">
        <v>7224</v>
      </c>
    </row>
    <row r="44" spans="1:3" x14ac:dyDescent="0.35">
      <c r="A44" s="49" t="s">
        <v>137</v>
      </c>
      <c r="B44" s="48">
        <v>7123</v>
      </c>
      <c r="C44" s="48">
        <v>7224</v>
      </c>
    </row>
    <row r="45" spans="1:3" x14ac:dyDescent="0.35">
      <c r="A45" s="49" t="s">
        <v>138</v>
      </c>
      <c r="B45" s="50">
        <v>23823</v>
      </c>
      <c r="C45" s="50">
        <v>25366</v>
      </c>
    </row>
    <row r="46" spans="1:3" x14ac:dyDescent="0.35">
      <c r="A46" s="49" t="s">
        <v>139</v>
      </c>
      <c r="B46" s="50">
        <v>259585</v>
      </c>
      <c r="C46" s="50">
        <v>270686</v>
      </c>
    </row>
    <row r="47" spans="1:3" x14ac:dyDescent="0.35">
      <c r="A47" s="49" t="s">
        <v>140</v>
      </c>
      <c r="B47" s="50">
        <v>259585</v>
      </c>
      <c r="C47" s="50">
        <v>270686</v>
      </c>
    </row>
    <row r="48" spans="1:3" x14ac:dyDescent="0.35">
      <c r="A48" s="47" t="s">
        <v>141</v>
      </c>
      <c r="B48" s="50">
        <v>12844</v>
      </c>
      <c r="C48" s="50">
        <v>13684</v>
      </c>
    </row>
    <row r="49" spans="1:3" x14ac:dyDescent="0.35">
      <c r="A49" s="49" t="s">
        <v>31</v>
      </c>
      <c r="B49" s="50">
        <v>12844</v>
      </c>
      <c r="C49" s="50">
        <v>13684</v>
      </c>
    </row>
    <row r="50" spans="1:3" x14ac:dyDescent="0.35">
      <c r="A50" s="52" t="s">
        <v>33</v>
      </c>
      <c r="B50" s="53">
        <v>361485</v>
      </c>
      <c r="C50" s="53">
        <v>365598</v>
      </c>
    </row>
    <row r="51" spans="1:3" x14ac:dyDescent="0.35">
      <c r="A51" s="45" t="s">
        <v>35</v>
      </c>
      <c r="B51" s="46"/>
      <c r="C51" s="46"/>
    </row>
    <row r="52" spans="1:3" x14ac:dyDescent="0.35">
      <c r="A52" s="52" t="s">
        <v>35</v>
      </c>
      <c r="B52" s="53">
        <v>453475</v>
      </c>
      <c r="C52" s="53">
        <v>448980</v>
      </c>
    </row>
    <row r="53" spans="1:3" x14ac:dyDescent="0.35">
      <c r="A53" s="45" t="s">
        <v>143</v>
      </c>
      <c r="B53" s="46"/>
      <c r="C53" s="46"/>
    </row>
    <row r="54" spans="1:3" x14ac:dyDescent="0.35">
      <c r="A54" s="47" t="s">
        <v>144</v>
      </c>
      <c r="B54" s="50">
        <v>49061</v>
      </c>
      <c r="C54" s="50">
        <v>50268</v>
      </c>
    </row>
    <row r="55" spans="1:3" x14ac:dyDescent="0.35">
      <c r="A55" s="49" t="s">
        <v>37</v>
      </c>
      <c r="B55" s="50">
        <v>36145</v>
      </c>
      <c r="C55" s="50">
        <v>36049</v>
      </c>
    </row>
    <row r="56" spans="1:3" x14ac:dyDescent="0.35">
      <c r="A56" s="49" t="s">
        <v>145</v>
      </c>
      <c r="B56" s="50">
        <v>12916</v>
      </c>
      <c r="C56" s="50">
        <v>14219</v>
      </c>
    </row>
    <row r="57" spans="1:3" x14ac:dyDescent="0.35">
      <c r="A57" s="47" t="s">
        <v>39</v>
      </c>
      <c r="B57" s="48">
        <v>4961</v>
      </c>
      <c r="C57" s="48">
        <v>9303</v>
      </c>
    </row>
    <row r="58" spans="1:3" x14ac:dyDescent="0.35">
      <c r="A58" s="49" t="s">
        <v>422</v>
      </c>
      <c r="B58" s="51">
        <v>63</v>
      </c>
      <c r="C58" s="48">
        <v>3062</v>
      </c>
    </row>
    <row r="59" spans="1:3" x14ac:dyDescent="0.35">
      <c r="A59" s="49" t="s">
        <v>146</v>
      </c>
      <c r="B59" s="48">
        <v>4898</v>
      </c>
      <c r="C59" s="48">
        <v>6241</v>
      </c>
    </row>
    <row r="60" spans="1:3" x14ac:dyDescent="0.35">
      <c r="A60" s="49" t="s">
        <v>147</v>
      </c>
      <c r="B60" s="48">
        <v>4775</v>
      </c>
      <c r="C60" s="48">
        <v>6097</v>
      </c>
    </row>
    <row r="61" spans="1:3" x14ac:dyDescent="0.35">
      <c r="A61" s="49" t="s">
        <v>148</v>
      </c>
      <c r="B61" s="48">
        <v>123</v>
      </c>
      <c r="C61" s="48">
        <v>144</v>
      </c>
    </row>
    <row r="62" spans="1:3" x14ac:dyDescent="0.35">
      <c r="A62" s="47" t="s">
        <v>149</v>
      </c>
      <c r="B62" s="48">
        <v>4055</v>
      </c>
      <c r="C62" s="48">
        <v>2123</v>
      </c>
    </row>
    <row r="63" spans="1:3" x14ac:dyDescent="0.35">
      <c r="A63" s="47" t="s">
        <v>150</v>
      </c>
      <c r="B63" s="48">
        <v>1852</v>
      </c>
      <c r="C63" s="48">
        <v>1942</v>
      </c>
    </row>
    <row r="64" spans="1:3" x14ac:dyDescent="0.35">
      <c r="A64" s="47" t="s">
        <v>423</v>
      </c>
      <c r="B64" s="50">
        <v>10378</v>
      </c>
      <c r="C64" s="48">
        <v>8694</v>
      </c>
    </row>
    <row r="65" spans="1:3" x14ac:dyDescent="0.35">
      <c r="A65" s="49" t="s">
        <v>41</v>
      </c>
      <c r="B65" s="50">
        <v>10378</v>
      </c>
      <c r="C65" s="48">
        <v>8694</v>
      </c>
    </row>
    <row r="66" spans="1:3" x14ac:dyDescent="0.35">
      <c r="A66" s="52" t="s">
        <v>43</v>
      </c>
      <c r="B66" s="53">
        <v>70307</v>
      </c>
      <c r="C66" s="53">
        <v>72330</v>
      </c>
    </row>
    <row r="67" spans="1:3" x14ac:dyDescent="0.35">
      <c r="A67" s="45" t="s">
        <v>151</v>
      </c>
      <c r="B67" s="46"/>
      <c r="C67" s="46"/>
    </row>
    <row r="68" spans="1:3" x14ac:dyDescent="0.35">
      <c r="A68" s="47" t="s">
        <v>45</v>
      </c>
      <c r="B68" s="50">
        <v>36870</v>
      </c>
      <c r="C68" s="50">
        <v>34350</v>
      </c>
    </row>
    <row r="69" spans="1:3" x14ac:dyDescent="0.35">
      <c r="A69" s="49" t="s">
        <v>152</v>
      </c>
      <c r="B69" s="50">
        <v>34632</v>
      </c>
      <c r="C69" s="50">
        <v>31835</v>
      </c>
    </row>
    <row r="70" spans="1:3" x14ac:dyDescent="0.35">
      <c r="A70" s="49" t="s">
        <v>153</v>
      </c>
      <c r="B70" s="50">
        <v>34632</v>
      </c>
      <c r="C70" s="50">
        <v>31835</v>
      </c>
    </row>
    <row r="71" spans="1:3" x14ac:dyDescent="0.35">
      <c r="A71" s="49" t="s">
        <v>154</v>
      </c>
      <c r="B71" s="48">
        <v>2238</v>
      </c>
      <c r="C71" s="48">
        <v>2515</v>
      </c>
    </row>
    <row r="72" spans="1:3" x14ac:dyDescent="0.35">
      <c r="A72" s="47" t="s">
        <v>155</v>
      </c>
      <c r="B72" s="50">
        <v>39042</v>
      </c>
      <c r="C72" s="50">
        <v>40216</v>
      </c>
    </row>
    <row r="73" spans="1:3" x14ac:dyDescent="0.35">
      <c r="A73" s="49" t="s">
        <v>156</v>
      </c>
      <c r="B73" s="50">
        <v>39042</v>
      </c>
      <c r="C73" s="50">
        <v>40216</v>
      </c>
    </row>
    <row r="74" spans="1:3" x14ac:dyDescent="0.35">
      <c r="A74" s="47" t="s">
        <v>157</v>
      </c>
      <c r="B74" s="48">
        <v>4626</v>
      </c>
      <c r="C74" s="48">
        <v>4892</v>
      </c>
    </row>
    <row r="75" spans="1:3" x14ac:dyDescent="0.35">
      <c r="A75" s="47" t="s">
        <v>158</v>
      </c>
      <c r="B75" s="50">
        <v>32024</v>
      </c>
      <c r="C75" s="50">
        <v>30566</v>
      </c>
    </row>
    <row r="76" spans="1:3" x14ac:dyDescent="0.35">
      <c r="A76" s="49" t="s">
        <v>159</v>
      </c>
      <c r="B76" s="48">
        <v>9700</v>
      </c>
      <c r="C76" s="48">
        <v>8847</v>
      </c>
    </row>
    <row r="77" spans="1:3" x14ac:dyDescent="0.35">
      <c r="A77" s="49" t="s">
        <v>160</v>
      </c>
      <c r="B77" s="48">
        <v>9700</v>
      </c>
      <c r="C77" s="48">
        <v>8847</v>
      </c>
    </row>
    <row r="78" spans="1:3" x14ac:dyDescent="0.35">
      <c r="A78" s="49" t="s">
        <v>47</v>
      </c>
      <c r="B78" s="50">
        <v>22324</v>
      </c>
      <c r="C78" s="50">
        <v>21719</v>
      </c>
    </row>
    <row r="79" spans="1:3" x14ac:dyDescent="0.35">
      <c r="A79" s="47" t="s">
        <v>49</v>
      </c>
      <c r="B79" s="50">
        <v>112562</v>
      </c>
      <c r="C79" s="50">
        <v>110024</v>
      </c>
    </row>
    <row r="80" spans="1:3" x14ac:dyDescent="0.35">
      <c r="A80" s="45" t="s">
        <v>51</v>
      </c>
      <c r="B80" s="46"/>
      <c r="C80" s="46"/>
    </row>
    <row r="81" spans="1:3" x14ac:dyDescent="0.35">
      <c r="A81" s="52" t="s">
        <v>51</v>
      </c>
      <c r="B81" s="53">
        <v>182869</v>
      </c>
      <c r="C81" s="53">
        <v>182354</v>
      </c>
    </row>
    <row r="82" spans="1:3" x14ac:dyDescent="0.35">
      <c r="A82" s="45" t="s">
        <v>162</v>
      </c>
      <c r="B82" s="46"/>
      <c r="C82" s="46"/>
    </row>
    <row r="83" spans="1:3" x14ac:dyDescent="0.35">
      <c r="A83" s="47" t="s">
        <v>163</v>
      </c>
      <c r="B83" s="50">
        <v>263705</v>
      </c>
      <c r="C83" s="50">
        <v>259386</v>
      </c>
    </row>
    <row r="84" spans="1:3" x14ac:dyDescent="0.35">
      <c r="A84" s="49" t="s">
        <v>164</v>
      </c>
      <c r="B84" s="50">
        <v>263705</v>
      </c>
      <c r="C84" s="50">
        <v>259386</v>
      </c>
    </row>
    <row r="85" spans="1:3" x14ac:dyDescent="0.35">
      <c r="A85" s="49" t="s">
        <v>165</v>
      </c>
      <c r="B85" s="50">
        <v>238817</v>
      </c>
      <c r="C85" s="50">
        <v>258395</v>
      </c>
    </row>
    <row r="86" spans="1:3" x14ac:dyDescent="0.35">
      <c r="A86" s="49" t="s">
        <v>166</v>
      </c>
      <c r="B86" s="50">
        <v>46238</v>
      </c>
      <c r="C86" s="50">
        <v>46150</v>
      </c>
    </row>
    <row r="87" spans="1:3" x14ac:dyDescent="0.35">
      <c r="A87" s="49" t="s">
        <v>167</v>
      </c>
      <c r="B87" s="50">
        <v>46238</v>
      </c>
      <c r="C87" s="50">
        <v>46150</v>
      </c>
    </row>
    <row r="88" spans="1:3" x14ac:dyDescent="0.35">
      <c r="A88" s="49" t="s">
        <v>169</v>
      </c>
      <c r="B88" s="50">
        <v>456284</v>
      </c>
      <c r="C88" s="50">
        <v>471631</v>
      </c>
    </row>
    <row r="89" spans="1:3" x14ac:dyDescent="0.35">
      <c r="A89" s="49" t="s">
        <v>170</v>
      </c>
      <c r="B89" s="50">
        <v>470903</v>
      </c>
      <c r="C89" s="50">
        <v>482494</v>
      </c>
    </row>
    <row r="90" spans="1:3" x14ac:dyDescent="0.35">
      <c r="A90" s="49" t="s">
        <v>171</v>
      </c>
      <c r="B90" s="57">
        <v>-14619</v>
      </c>
      <c r="C90" s="57">
        <v>-10863</v>
      </c>
    </row>
    <row r="91" spans="1:3" x14ac:dyDescent="0.35">
      <c r="A91" s="49" t="s">
        <v>174</v>
      </c>
      <c r="B91" s="57">
        <v>-16166</v>
      </c>
      <c r="C91" s="57">
        <v>-13398</v>
      </c>
    </row>
    <row r="92" spans="1:3" x14ac:dyDescent="0.35">
      <c r="A92" s="49" t="s">
        <v>175</v>
      </c>
      <c r="B92" s="48">
        <v>1547</v>
      </c>
      <c r="C92" s="48">
        <v>2535</v>
      </c>
    </row>
    <row r="93" spans="1:3" x14ac:dyDescent="0.35">
      <c r="A93" s="49" t="s">
        <v>53</v>
      </c>
      <c r="B93" s="50">
        <v>263705</v>
      </c>
      <c r="C93" s="50">
        <v>259386</v>
      </c>
    </row>
    <row r="94" spans="1:3" x14ac:dyDescent="0.35">
      <c r="A94" s="47" t="s">
        <v>428</v>
      </c>
      <c r="B94" s="48">
        <v>6901</v>
      </c>
      <c r="C94" s="48">
        <v>7240</v>
      </c>
    </row>
    <row r="95" spans="1:3" x14ac:dyDescent="0.35">
      <c r="A95" s="45" t="s">
        <v>176</v>
      </c>
      <c r="B95" s="46"/>
      <c r="C95" s="46"/>
    </row>
    <row r="96" spans="1:3" x14ac:dyDescent="0.35">
      <c r="A96" s="52" t="s">
        <v>57</v>
      </c>
      <c r="B96" s="53">
        <v>270606</v>
      </c>
      <c r="C96" s="53">
        <v>266626</v>
      </c>
    </row>
    <row r="97" spans="1:3" x14ac:dyDescent="0.35">
      <c r="A97" s="45" t="s">
        <v>177</v>
      </c>
      <c r="B97" s="46"/>
      <c r="C97" s="46"/>
    </row>
    <row r="98" spans="1:3" x14ac:dyDescent="0.35">
      <c r="A98" s="52" t="s">
        <v>60</v>
      </c>
      <c r="B98" s="53">
        <v>453475</v>
      </c>
      <c r="C98" s="53">
        <v>448980</v>
      </c>
    </row>
    <row r="99" spans="1:3" x14ac:dyDescent="0.35">
      <c r="A99" s="45" t="s">
        <v>178</v>
      </c>
      <c r="B99" s="46"/>
      <c r="C99" s="46"/>
    </row>
    <row r="100" spans="1:3" x14ac:dyDescent="0.35">
      <c r="A100" s="47" t="s">
        <v>179</v>
      </c>
      <c r="B100" s="48">
        <v>8019</v>
      </c>
      <c r="C100" s="48">
        <v>8019</v>
      </c>
    </row>
    <row r="101" spans="1:3" x14ac:dyDescent="0.35">
      <c r="A101" s="49" t="s">
        <v>180</v>
      </c>
      <c r="B101" s="48">
        <v>4353</v>
      </c>
      <c r="C101" s="48">
        <v>4179</v>
      </c>
    </row>
    <row r="102" spans="1:3" x14ac:dyDescent="0.35">
      <c r="A102" s="49" t="s">
        <v>181</v>
      </c>
      <c r="B102" s="48">
        <v>3666</v>
      </c>
      <c r="C102" s="48">
        <v>3840</v>
      </c>
    </row>
    <row r="103" spans="1:3" x14ac:dyDescent="0.35">
      <c r="A103" s="47" t="s">
        <v>182</v>
      </c>
      <c r="B103" s="48">
        <v>9000</v>
      </c>
      <c r="C103" s="48">
        <v>9000</v>
      </c>
    </row>
    <row r="104" spans="1:3" x14ac:dyDescent="0.35">
      <c r="A104" s="47" t="s">
        <v>183</v>
      </c>
      <c r="B104" s="48">
        <v>8019</v>
      </c>
      <c r="C104" s="48">
        <v>8019</v>
      </c>
    </row>
    <row r="105" spans="1:3" x14ac:dyDescent="0.35">
      <c r="A105" s="49" t="s">
        <v>184</v>
      </c>
      <c r="B105" s="48">
        <v>4353</v>
      </c>
      <c r="C105" s="48">
        <v>4179</v>
      </c>
    </row>
    <row r="106" spans="1:3" x14ac:dyDescent="0.35">
      <c r="A106" s="49" t="s">
        <v>185</v>
      </c>
      <c r="B106" s="48">
        <v>3666</v>
      </c>
      <c r="C106" s="48">
        <v>3840</v>
      </c>
    </row>
    <row r="107" spans="1:3" x14ac:dyDescent="0.35">
      <c r="A107" s="45" t="s">
        <v>186</v>
      </c>
      <c r="B107" s="46"/>
      <c r="C107" s="46"/>
    </row>
    <row r="108" spans="1:3" x14ac:dyDescent="0.35">
      <c r="A108" s="47" t="s">
        <v>187</v>
      </c>
      <c r="B108" s="51">
        <v>1</v>
      </c>
      <c r="C108" s="51">
        <v>1</v>
      </c>
    </row>
    <row r="109" spans="1:3" x14ac:dyDescent="0.35">
      <c r="A109" s="45" t="s">
        <v>188</v>
      </c>
      <c r="B109" s="46"/>
      <c r="C109" s="46"/>
    </row>
    <row r="110" spans="1:3" x14ac:dyDescent="0.35">
      <c r="A110" s="47" t="s">
        <v>189</v>
      </c>
      <c r="B110" s="50">
        <v>10011</v>
      </c>
      <c r="C110" s="50">
        <v>10508</v>
      </c>
    </row>
    <row r="111" spans="1:3" x14ac:dyDescent="0.35">
      <c r="A111" s="49" t="s">
        <v>190</v>
      </c>
      <c r="B111" s="48">
        <v>7123</v>
      </c>
      <c r="C111" s="48">
        <v>7224</v>
      </c>
    </row>
    <row r="112" spans="1:3" x14ac:dyDescent="0.35">
      <c r="A112" s="49" t="s">
        <v>191</v>
      </c>
      <c r="B112" s="48">
        <v>2888</v>
      </c>
      <c r="C112" s="48">
        <v>3284</v>
      </c>
    </row>
    <row r="113" spans="1:3" x14ac:dyDescent="0.35">
      <c r="A113" s="47" t="s">
        <v>192</v>
      </c>
      <c r="B113" s="50">
        <v>291430</v>
      </c>
      <c r="C113" s="50">
        <v>296089</v>
      </c>
    </row>
    <row r="114" spans="1:3" x14ac:dyDescent="0.35">
      <c r="A114" s="45" t="s">
        <v>193</v>
      </c>
      <c r="B114" s="46"/>
      <c r="C114" s="46"/>
    </row>
    <row r="115" spans="1:3" x14ac:dyDescent="0.35">
      <c r="A115" s="47" t="s">
        <v>194</v>
      </c>
      <c r="B115" s="48">
        <v>6478</v>
      </c>
      <c r="C115" s="48">
        <v>6834</v>
      </c>
    </row>
    <row r="116" spans="1:3" x14ac:dyDescent="0.35">
      <c r="A116" s="49" t="s">
        <v>195</v>
      </c>
      <c r="B116" s="48">
        <v>1852</v>
      </c>
      <c r="C116" s="48">
        <v>1942</v>
      </c>
    </row>
    <row r="117" spans="1:3" x14ac:dyDescent="0.35">
      <c r="A117" s="49" t="s">
        <v>196</v>
      </c>
      <c r="B117" s="48">
        <v>4626</v>
      </c>
      <c r="C117" s="48">
        <v>4892</v>
      </c>
    </row>
    <row r="118" spans="1:3" x14ac:dyDescent="0.35">
      <c r="A118" s="47" t="s">
        <v>197</v>
      </c>
      <c r="B118" s="48">
        <v>8839</v>
      </c>
      <c r="C118" s="48">
        <v>9493</v>
      </c>
    </row>
    <row r="119" spans="1:3" x14ac:dyDescent="0.35">
      <c r="A119" s="47" t="s">
        <v>198</v>
      </c>
      <c r="B119" s="50">
        <v>48309</v>
      </c>
      <c r="C119" s="50">
        <v>50487</v>
      </c>
    </row>
    <row r="120" spans="1:3" x14ac:dyDescent="0.35">
      <c r="A120" s="45" t="s">
        <v>199</v>
      </c>
      <c r="B120" s="46"/>
      <c r="C120" s="46"/>
    </row>
    <row r="121" spans="1:3" x14ac:dyDescent="0.35">
      <c r="A121" s="47" t="s">
        <v>200</v>
      </c>
      <c r="B121" s="48">
        <v>343</v>
      </c>
      <c r="C121" s="48">
        <v>271</v>
      </c>
    </row>
    <row r="122" spans="1:3" x14ac:dyDescent="0.35">
      <c r="A122" s="47" t="s">
        <v>201</v>
      </c>
      <c r="B122" s="50">
        <v>56528</v>
      </c>
      <c r="C122" s="50">
        <v>56955</v>
      </c>
    </row>
    <row r="123" spans="1:3" x14ac:dyDescent="0.35">
      <c r="A123" s="49" t="s">
        <v>202</v>
      </c>
      <c r="B123" s="50">
        <v>35444</v>
      </c>
      <c r="C123" s="50">
        <v>36014</v>
      </c>
    </row>
    <row r="124" spans="1:3" x14ac:dyDescent="0.35">
      <c r="A124" s="47" t="s">
        <v>203</v>
      </c>
      <c r="B124" s="50">
        <v>14600</v>
      </c>
      <c r="C124" s="50">
        <v>15521</v>
      </c>
    </row>
    <row r="125" spans="1:3" x14ac:dyDescent="0.35">
      <c r="A125" s="47" t="s">
        <v>204</v>
      </c>
      <c r="B125" s="48">
        <v>4055</v>
      </c>
      <c r="C125" s="48">
        <v>2123</v>
      </c>
    </row>
    <row r="126" spans="1:3" x14ac:dyDescent="0.35">
      <c r="A126" s="47" t="s">
        <v>205</v>
      </c>
      <c r="B126" s="50">
        <v>49061</v>
      </c>
      <c r="C126" s="50">
        <v>50268</v>
      </c>
    </row>
    <row r="127" spans="1:3" x14ac:dyDescent="0.35">
      <c r="A127" s="49" t="s">
        <v>206</v>
      </c>
      <c r="B127" s="50">
        <v>36145</v>
      </c>
      <c r="C127" s="50">
        <v>36049</v>
      </c>
    </row>
    <row r="128" spans="1:3" x14ac:dyDescent="0.35">
      <c r="A128" s="49" t="s">
        <v>207</v>
      </c>
      <c r="B128" s="50">
        <v>12916</v>
      </c>
      <c r="C128" s="50">
        <v>14219</v>
      </c>
    </row>
    <row r="129" spans="1:3" x14ac:dyDescent="0.35">
      <c r="A129" s="45" t="s">
        <v>208</v>
      </c>
      <c r="B129" s="46"/>
      <c r="C129" s="46"/>
    </row>
    <row r="130" spans="1:3" x14ac:dyDescent="0.35">
      <c r="A130" s="47" t="s">
        <v>209</v>
      </c>
      <c r="B130" s="50">
        <v>18802</v>
      </c>
      <c r="C130" s="50">
        <v>32972</v>
      </c>
    </row>
    <row r="131" spans="1:3" x14ac:dyDescent="0.35">
      <c r="A131" s="47" t="s">
        <v>210</v>
      </c>
      <c r="B131" s="50">
        <v>41831</v>
      </c>
      <c r="C131" s="50">
        <v>43653</v>
      </c>
    </row>
    <row r="132" spans="1:3" x14ac:dyDescent="0.35">
      <c r="A132" s="47" t="s">
        <v>212</v>
      </c>
      <c r="B132" s="48">
        <v>1500</v>
      </c>
      <c r="C132" s="48">
        <v>8300</v>
      </c>
    </row>
    <row r="133" spans="1:3" x14ac:dyDescent="0.35">
      <c r="A133" s="45" t="s">
        <v>214</v>
      </c>
      <c r="B133" s="46"/>
      <c r="C133" s="46"/>
    </row>
    <row r="134" spans="1:3" x14ac:dyDescent="0.35">
      <c r="A134" s="47" t="s">
        <v>215</v>
      </c>
      <c r="B134" s="48">
        <v>9858</v>
      </c>
      <c r="C134" s="50">
        <v>11200</v>
      </c>
    </row>
    <row r="135" spans="1:3" x14ac:dyDescent="0.35">
      <c r="A135" s="49" t="s">
        <v>217</v>
      </c>
      <c r="B135" s="48">
        <v>5456</v>
      </c>
      <c r="C135" s="48">
        <v>2500</v>
      </c>
    </row>
    <row r="136" spans="1:3" x14ac:dyDescent="0.35">
      <c r="A136" s="49" t="s">
        <v>218</v>
      </c>
      <c r="B136" s="48">
        <v>1357</v>
      </c>
      <c r="C136" s="48">
        <v>1700</v>
      </c>
    </row>
    <row r="137" spans="1:3" x14ac:dyDescent="0.35">
      <c r="A137" s="49" t="s">
        <v>219</v>
      </c>
      <c r="B137" s="48">
        <v>1441</v>
      </c>
      <c r="C137" s="48">
        <v>1700</v>
      </c>
    </row>
    <row r="138" spans="1:3" x14ac:dyDescent="0.35">
      <c r="A138" s="49" t="s">
        <v>220</v>
      </c>
      <c r="B138" s="48">
        <v>1604</v>
      </c>
      <c r="C138" s="48">
        <v>5300</v>
      </c>
    </row>
    <row r="139" spans="1:3" x14ac:dyDescent="0.35">
      <c r="A139" s="47" t="s">
        <v>221</v>
      </c>
      <c r="B139" s="48">
        <v>6813</v>
      </c>
      <c r="C139" s="48">
        <v>4200</v>
      </c>
    </row>
    <row r="140" spans="1:3" x14ac:dyDescent="0.35">
      <c r="A140" s="47" t="s">
        <v>222</v>
      </c>
      <c r="B140" s="48">
        <v>3045</v>
      </c>
      <c r="C140" s="48">
        <v>7000</v>
      </c>
    </row>
    <row r="141" spans="1:3" x14ac:dyDescent="0.35">
      <c r="A141" s="45" t="s">
        <v>223</v>
      </c>
      <c r="B141" s="46"/>
      <c r="C141" s="46"/>
    </row>
    <row r="142" spans="1:3" x14ac:dyDescent="0.35">
      <c r="A142" s="47" t="s">
        <v>224</v>
      </c>
      <c r="B142" s="48">
        <v>2361</v>
      </c>
      <c r="C142" s="48">
        <v>2659</v>
      </c>
    </row>
    <row r="143" spans="1:3" x14ac:dyDescent="0.35">
      <c r="A143" s="49" t="s">
        <v>225</v>
      </c>
      <c r="B143" s="48">
        <v>275</v>
      </c>
      <c r="C143" s="48">
        <v>362</v>
      </c>
    </row>
    <row r="144" spans="1:3" x14ac:dyDescent="0.35">
      <c r="A144" s="49" t="s">
        <v>226</v>
      </c>
      <c r="B144" s="48">
        <v>274</v>
      </c>
      <c r="C144" s="48">
        <v>351</v>
      </c>
    </row>
    <row r="145" spans="1:3" x14ac:dyDescent="0.35">
      <c r="A145" s="49" t="s">
        <v>227</v>
      </c>
      <c r="B145" s="48">
        <v>265</v>
      </c>
      <c r="C145" s="48">
        <v>348</v>
      </c>
    </row>
    <row r="146" spans="1:3" x14ac:dyDescent="0.35">
      <c r="A146" s="49" t="s">
        <v>228</v>
      </c>
      <c r="B146" s="48">
        <v>263</v>
      </c>
      <c r="C146" s="48">
        <v>341</v>
      </c>
    </row>
    <row r="147" spans="1:3" x14ac:dyDescent="0.35">
      <c r="A147" s="49" t="s">
        <v>229</v>
      </c>
      <c r="B147" s="48">
        <v>256</v>
      </c>
      <c r="C147" s="48">
        <v>335</v>
      </c>
    </row>
    <row r="148" spans="1:3" x14ac:dyDescent="0.35">
      <c r="A148" s="49" t="s">
        <v>230</v>
      </c>
      <c r="B148" s="48">
        <v>2450</v>
      </c>
      <c r="C148" s="48">
        <v>3128</v>
      </c>
    </row>
    <row r="149" spans="1:3" x14ac:dyDescent="0.35">
      <c r="A149" s="49" t="s">
        <v>231</v>
      </c>
      <c r="B149" s="48">
        <v>1422</v>
      </c>
      <c r="C149" s="48">
        <v>2206</v>
      </c>
    </row>
    <row r="150" spans="1:3" x14ac:dyDescent="0.35">
      <c r="A150" s="47" t="s">
        <v>232</v>
      </c>
      <c r="B150" s="48">
        <v>539</v>
      </c>
      <c r="C150" s="48">
        <v>699</v>
      </c>
    </row>
    <row r="151" spans="1:3" x14ac:dyDescent="0.35">
      <c r="A151" s="47" t="s">
        <v>233</v>
      </c>
      <c r="B151" s="48">
        <v>519</v>
      </c>
      <c r="C151" s="48">
        <v>676</v>
      </c>
    </row>
    <row r="152" spans="1:3" x14ac:dyDescent="0.35">
      <c r="A152" s="47" t="s">
        <v>234</v>
      </c>
      <c r="B152" s="48">
        <v>2450</v>
      </c>
      <c r="C152" s="48">
        <v>3128</v>
      </c>
    </row>
    <row r="153" spans="1:3" x14ac:dyDescent="0.35">
      <c r="A153" s="45" t="s">
        <v>235</v>
      </c>
      <c r="B153" s="46"/>
      <c r="C153" s="46"/>
    </row>
    <row r="154" spans="1:3" x14ac:dyDescent="0.35">
      <c r="A154" s="47" t="s">
        <v>236</v>
      </c>
      <c r="B154" s="51">
        <v>7</v>
      </c>
      <c r="C154" s="51">
        <v>8</v>
      </c>
    </row>
    <row r="155" spans="1:3" x14ac:dyDescent="0.35">
      <c r="A155" s="47" t="s">
        <v>237</v>
      </c>
      <c r="B155" s="51">
        <v>18</v>
      </c>
      <c r="C155" s="51">
        <v>17</v>
      </c>
    </row>
    <row r="156" spans="1:3" x14ac:dyDescent="0.35">
      <c r="A156" s="47" t="s">
        <v>238</v>
      </c>
      <c r="B156" s="56">
        <v>0</v>
      </c>
      <c r="C156" s="56">
        <v>0</v>
      </c>
    </row>
    <row r="157" spans="1:3" x14ac:dyDescent="0.35">
      <c r="A157" s="47" t="s">
        <v>239</v>
      </c>
      <c r="B157" s="56">
        <v>0</v>
      </c>
      <c r="C157" s="56">
        <v>0</v>
      </c>
    </row>
    <row r="158" spans="1:3" x14ac:dyDescent="0.35">
      <c r="A158" s="45" t="s">
        <v>82</v>
      </c>
      <c r="B158" s="46"/>
      <c r="C158" s="46"/>
    </row>
    <row r="159" spans="1:3" x14ac:dyDescent="0.35">
      <c r="A159" s="47" t="s">
        <v>433</v>
      </c>
      <c r="B159" s="48">
        <v>6901</v>
      </c>
      <c r="C159" s="48">
        <v>7240</v>
      </c>
    </row>
    <row r="160" spans="1:3" x14ac:dyDescent="0.35">
      <c r="A160" s="47" t="s">
        <v>240</v>
      </c>
      <c r="B160" s="54">
        <v>-1346</v>
      </c>
      <c r="C160" s="48">
        <v>371</v>
      </c>
    </row>
    <row r="161" spans="1:3" x14ac:dyDescent="0.35">
      <c r="A161" s="47" t="s">
        <v>241</v>
      </c>
      <c r="B161" s="50">
        <v>417599</v>
      </c>
      <c r="C161" s="50">
        <v>425906</v>
      </c>
    </row>
    <row r="162" spans="1:3" x14ac:dyDescent="0.35">
      <c r="A162" s="47" t="s">
        <v>242</v>
      </c>
      <c r="B162" s="50">
        <v>23029</v>
      </c>
      <c r="C162" s="50">
        <v>10681</v>
      </c>
    </row>
    <row r="163" spans="1:3" x14ac:dyDescent="0.35">
      <c r="A163" s="47" t="s">
        <v>243</v>
      </c>
      <c r="B163" s="50">
        <v>23029</v>
      </c>
      <c r="C163" s="50">
        <v>10681</v>
      </c>
    </row>
    <row r="164" spans="1:3" x14ac:dyDescent="0.35">
      <c r="A164" s="47" t="s">
        <v>244</v>
      </c>
      <c r="B164" s="50">
        <v>48732</v>
      </c>
      <c r="C164" s="50">
        <v>50893</v>
      </c>
    </row>
    <row r="165" spans="1:3" x14ac:dyDescent="0.35">
      <c r="A165" s="47" t="s">
        <v>245</v>
      </c>
      <c r="B165" s="50">
        <v>34353</v>
      </c>
      <c r="C165" s="50">
        <v>32924</v>
      </c>
    </row>
    <row r="166" spans="1:3" x14ac:dyDescent="0.35">
      <c r="A166" s="47" t="s">
        <v>246</v>
      </c>
      <c r="B166" s="50">
        <v>289408</v>
      </c>
      <c r="C166" s="50">
        <v>299598</v>
      </c>
    </row>
    <row r="167" spans="1:3" x14ac:dyDescent="0.35">
      <c r="A167" s="47" t="s">
        <v>247</v>
      </c>
      <c r="B167" s="50">
        <v>289408</v>
      </c>
      <c r="C167" s="50">
        <v>299598</v>
      </c>
    </row>
    <row r="168" spans="1:3" x14ac:dyDescent="0.35">
      <c r="A168" s="47" t="s">
        <v>248</v>
      </c>
      <c r="B168" s="50">
        <v>48742</v>
      </c>
      <c r="C168" s="50">
        <v>49063</v>
      </c>
    </row>
    <row r="169" spans="1:3" x14ac:dyDescent="0.35">
      <c r="A169" s="47" t="s">
        <v>249</v>
      </c>
      <c r="B169" s="50">
        <v>263705</v>
      </c>
      <c r="C169" s="50">
        <v>259386</v>
      </c>
    </row>
    <row r="170" spans="1:3" x14ac:dyDescent="0.35">
      <c r="A170" s="47" t="s">
        <v>250</v>
      </c>
      <c r="B170" s="50">
        <v>270606</v>
      </c>
      <c r="C170" s="50">
        <v>266626</v>
      </c>
    </row>
    <row r="171" spans="1:3" x14ac:dyDescent="0.35">
      <c r="A171" s="47" t="s">
        <v>251</v>
      </c>
      <c r="B171" s="50">
        <v>263705</v>
      </c>
      <c r="C171" s="50">
        <v>259386</v>
      </c>
    </row>
    <row r="172" spans="1:3" x14ac:dyDescent="0.35">
      <c r="A172" s="47" t="s">
        <v>252</v>
      </c>
      <c r="B172" s="50">
        <v>305536</v>
      </c>
      <c r="C172" s="50">
        <v>303039</v>
      </c>
    </row>
    <row r="173" spans="1:3" x14ac:dyDescent="0.35">
      <c r="A173" s="47" t="s">
        <v>253</v>
      </c>
      <c r="B173" s="50">
        <v>312437</v>
      </c>
      <c r="C173" s="50">
        <v>310279</v>
      </c>
    </row>
    <row r="174" spans="1:3" x14ac:dyDescent="0.35">
      <c r="A174" s="47" t="s">
        <v>254</v>
      </c>
      <c r="B174" s="50">
        <v>383168</v>
      </c>
      <c r="C174" s="50">
        <v>376650</v>
      </c>
    </row>
    <row r="175" spans="1:3" x14ac:dyDescent="0.35">
      <c r="A175" s="47" t="s">
        <v>255</v>
      </c>
      <c r="B175" s="50">
        <v>348638</v>
      </c>
      <c r="C175" s="50">
        <v>353205</v>
      </c>
    </row>
    <row r="176" spans="1:3" x14ac:dyDescent="0.35">
      <c r="A176" s="47" t="s">
        <v>256</v>
      </c>
      <c r="B176" s="50">
        <v>21683</v>
      </c>
      <c r="C176" s="50">
        <v>11052</v>
      </c>
    </row>
    <row r="177" spans="1:3" x14ac:dyDescent="0.35">
      <c r="A177" s="47" t="s">
        <v>257</v>
      </c>
      <c r="B177" s="54">
        <v>-1346</v>
      </c>
      <c r="C177" s="48">
        <v>371</v>
      </c>
    </row>
    <row r="178" spans="1:3" x14ac:dyDescent="0.35">
      <c r="A178" s="47" t="s">
        <v>434</v>
      </c>
      <c r="B178" s="50">
        <v>30305</v>
      </c>
      <c r="C178" s="50">
        <v>17909</v>
      </c>
    </row>
    <row r="179" spans="1:3" x14ac:dyDescent="0.35">
      <c r="A179" s="47" t="s">
        <v>258</v>
      </c>
      <c r="B179" s="50">
        <v>263705</v>
      </c>
      <c r="C179" s="50">
        <v>259386</v>
      </c>
    </row>
    <row r="180" spans="1:3" x14ac:dyDescent="0.35">
      <c r="A180" s="45" t="s">
        <v>259</v>
      </c>
      <c r="B180" s="46"/>
      <c r="C180" s="46"/>
    </row>
    <row r="181" spans="1:3" x14ac:dyDescent="0.35">
      <c r="A181" s="47" t="s">
        <v>260</v>
      </c>
      <c r="B181" s="50">
        <v>287749</v>
      </c>
      <c r="C181" s="50">
        <v>273961</v>
      </c>
    </row>
    <row r="182" spans="1:3" x14ac:dyDescent="0.35">
      <c r="A182" s="45" t="s">
        <v>261</v>
      </c>
      <c r="B182" s="46"/>
      <c r="C182" s="46"/>
    </row>
    <row r="183" spans="1:3" x14ac:dyDescent="0.35">
      <c r="A183" s="47" t="s">
        <v>262</v>
      </c>
      <c r="B183" s="48">
        <v>6478</v>
      </c>
      <c r="C183" s="48">
        <v>6834</v>
      </c>
    </row>
    <row r="184" spans="1:3" x14ac:dyDescent="0.35">
      <c r="A184" s="49" t="s">
        <v>263</v>
      </c>
      <c r="B184" s="48">
        <v>2119</v>
      </c>
      <c r="C184" s="48">
        <v>2189</v>
      </c>
    </row>
    <row r="185" spans="1:3" x14ac:dyDescent="0.35">
      <c r="A185" s="49" t="s">
        <v>264</v>
      </c>
      <c r="B185" s="48">
        <v>1569</v>
      </c>
      <c r="C185" s="48">
        <v>1609</v>
      </c>
    </row>
    <row r="186" spans="1:3" x14ac:dyDescent="0.35">
      <c r="A186" s="49" t="s">
        <v>265</v>
      </c>
      <c r="B186" s="48">
        <v>1134</v>
      </c>
      <c r="C186" s="48">
        <v>1042</v>
      </c>
    </row>
    <row r="187" spans="1:3" x14ac:dyDescent="0.35">
      <c r="A187" s="49" t="s">
        <v>266</v>
      </c>
      <c r="B187" s="48">
        <v>715</v>
      </c>
      <c r="C187" s="48">
        <v>502</v>
      </c>
    </row>
    <row r="188" spans="1:3" x14ac:dyDescent="0.35">
      <c r="A188" s="49" t="s">
        <v>267</v>
      </c>
      <c r="B188" s="48">
        <v>305</v>
      </c>
      <c r="C188" s="48">
        <v>402</v>
      </c>
    </row>
    <row r="189" spans="1:3" x14ac:dyDescent="0.35">
      <c r="A189" s="49" t="s">
        <v>268</v>
      </c>
      <c r="B189" s="48">
        <v>1712</v>
      </c>
      <c r="C189" s="48">
        <v>2237</v>
      </c>
    </row>
    <row r="190" spans="1:3" x14ac:dyDescent="0.35">
      <c r="A190" s="49" t="s">
        <v>269</v>
      </c>
      <c r="B190" s="48">
        <v>1076</v>
      </c>
      <c r="C190" s="48">
        <v>1147</v>
      </c>
    </row>
    <row r="191" spans="1:3" x14ac:dyDescent="0.35">
      <c r="A191" s="47" t="s">
        <v>270</v>
      </c>
      <c r="B191" s="48">
        <v>2703</v>
      </c>
      <c r="C191" s="48">
        <v>2651</v>
      </c>
    </row>
    <row r="192" spans="1:3" x14ac:dyDescent="0.35">
      <c r="A192" s="47" t="s">
        <v>271</v>
      </c>
      <c r="B192" s="48">
        <v>1020</v>
      </c>
      <c r="C192" s="48">
        <v>904</v>
      </c>
    </row>
    <row r="193" spans="1:3" x14ac:dyDescent="0.35">
      <c r="A193" s="47" t="s">
        <v>272</v>
      </c>
      <c r="B193" s="48">
        <v>1712</v>
      </c>
      <c r="C193" s="48">
        <v>2237</v>
      </c>
    </row>
    <row r="194" spans="1:3" x14ac:dyDescent="0.35">
      <c r="A194" s="45" t="s">
        <v>273</v>
      </c>
      <c r="B194" s="46"/>
      <c r="C194" s="46"/>
    </row>
    <row r="195" spans="1:3" x14ac:dyDescent="0.35">
      <c r="A195" s="47" t="s">
        <v>274</v>
      </c>
      <c r="B195" s="50">
        <v>61000</v>
      </c>
      <c r="C195" s="50">
        <v>58000</v>
      </c>
    </row>
    <row r="196" spans="1:3" x14ac:dyDescent="0.35">
      <c r="A196" s="47" t="s">
        <v>275</v>
      </c>
      <c r="B196" s="50">
        <v>61000</v>
      </c>
      <c r="C196" s="50">
        <v>58000</v>
      </c>
    </row>
    <row r="197" spans="1:3" x14ac:dyDescent="0.35">
      <c r="A197"/>
      <c r="B197"/>
      <c r="C197"/>
    </row>
    <row r="198" spans="1:3" x14ac:dyDescent="0.35">
      <c r="A198"/>
      <c r="B198"/>
      <c r="C198"/>
    </row>
    <row r="199" spans="1:3" x14ac:dyDescent="0.35">
      <c r="A199"/>
      <c r="B199"/>
      <c r="C199"/>
    </row>
    <row r="200" spans="1:3" x14ac:dyDescent="0.35">
      <c r="A200" s="39" t="s">
        <v>110</v>
      </c>
      <c r="B200" s="40" t="s">
        <v>111</v>
      </c>
      <c r="C200" s="40" t="s">
        <v>112</v>
      </c>
    </row>
    <row r="201" spans="1:3" x14ac:dyDescent="0.35">
      <c r="A201" s="41" t="s">
        <v>113</v>
      </c>
      <c r="B201" s="42">
        <v>45657</v>
      </c>
      <c r="C201" s="42">
        <v>46022</v>
      </c>
    </row>
    <row r="202" spans="1:3" x14ac:dyDescent="0.35">
      <c r="A202" s="41" t="s">
        <v>114</v>
      </c>
      <c r="B202" s="42" t="s">
        <v>115</v>
      </c>
      <c r="C202" s="42" t="s">
        <v>115</v>
      </c>
    </row>
    <row r="203" spans="1:3" x14ac:dyDescent="0.35">
      <c r="A203" s="43" t="s">
        <v>276</v>
      </c>
      <c r="B203" s="39"/>
      <c r="C203" s="39"/>
    </row>
    <row r="204" spans="1:3" x14ac:dyDescent="0.35">
      <c r="A204" s="43" t="s">
        <v>117</v>
      </c>
      <c r="B204" s="44" t="s">
        <v>118</v>
      </c>
      <c r="C204" s="44" t="s">
        <v>119</v>
      </c>
    </row>
    <row r="205" spans="1:3" x14ac:dyDescent="0.35">
      <c r="A205" s="45" t="s">
        <v>277</v>
      </c>
      <c r="B205" s="46"/>
      <c r="C205" s="46"/>
    </row>
    <row r="206" spans="1:3" x14ac:dyDescent="0.35">
      <c r="A206" s="47" t="s">
        <v>278</v>
      </c>
      <c r="B206" s="50">
        <v>339247</v>
      </c>
      <c r="C206" s="50">
        <v>323905</v>
      </c>
    </row>
    <row r="207" spans="1:3" x14ac:dyDescent="0.35">
      <c r="A207" s="49" t="s">
        <v>279</v>
      </c>
      <c r="B207" s="50">
        <v>339247</v>
      </c>
      <c r="C207" s="50">
        <v>323905</v>
      </c>
    </row>
    <row r="208" spans="1:3" x14ac:dyDescent="0.35">
      <c r="A208" s="52" t="s">
        <v>64</v>
      </c>
      <c r="B208" s="53">
        <v>339247</v>
      </c>
      <c r="C208" s="53">
        <v>323905</v>
      </c>
    </row>
    <row r="209" spans="1:3" x14ac:dyDescent="0.35">
      <c r="A209" s="45" t="s">
        <v>280</v>
      </c>
      <c r="B209" s="46"/>
      <c r="C209" s="46"/>
    </row>
    <row r="210" spans="1:3" x14ac:dyDescent="0.35">
      <c r="A210" s="47" t="s">
        <v>281</v>
      </c>
      <c r="B210" s="50">
        <v>262505</v>
      </c>
      <c r="C210" s="50">
        <v>250810</v>
      </c>
    </row>
    <row r="211" spans="1:3" x14ac:dyDescent="0.35">
      <c r="A211" s="49" t="s">
        <v>282</v>
      </c>
      <c r="B211" s="50">
        <v>262505</v>
      </c>
      <c r="C211" s="50">
        <v>250810</v>
      </c>
    </row>
    <row r="212" spans="1:3" x14ac:dyDescent="0.35">
      <c r="A212" s="49" t="s">
        <v>283</v>
      </c>
      <c r="B212" s="50">
        <v>239063</v>
      </c>
      <c r="C212" s="50">
        <v>226672</v>
      </c>
    </row>
    <row r="213" spans="1:3" x14ac:dyDescent="0.35">
      <c r="A213" s="49" t="s">
        <v>284</v>
      </c>
      <c r="B213" s="50">
        <v>23442</v>
      </c>
      <c r="C213" s="50">
        <v>24138</v>
      </c>
    </row>
    <row r="214" spans="1:3" x14ac:dyDescent="0.35">
      <c r="A214" s="52" t="s">
        <v>68</v>
      </c>
      <c r="B214" s="53">
        <v>76742</v>
      </c>
      <c r="C214" s="53">
        <v>73095</v>
      </c>
    </row>
    <row r="215" spans="1:3" x14ac:dyDescent="0.35">
      <c r="A215" s="47" t="s">
        <v>286</v>
      </c>
      <c r="B215" s="50">
        <v>37090</v>
      </c>
      <c r="C215" s="50">
        <v>37302</v>
      </c>
    </row>
    <row r="216" spans="1:3" x14ac:dyDescent="0.35">
      <c r="A216" s="49" t="s">
        <v>287</v>
      </c>
      <c r="B216" s="48">
        <v>9976</v>
      </c>
      <c r="C216" s="50">
        <v>11128</v>
      </c>
    </row>
    <row r="217" spans="1:3" x14ac:dyDescent="0.35">
      <c r="A217" s="49" t="s">
        <v>288</v>
      </c>
      <c r="B217" s="48">
        <v>826</v>
      </c>
      <c r="C217" s="48">
        <v>1007</v>
      </c>
    </row>
    <row r="218" spans="1:3" x14ac:dyDescent="0.35">
      <c r="A218" s="49" t="s">
        <v>289</v>
      </c>
      <c r="B218" s="50">
        <v>26288</v>
      </c>
      <c r="C218" s="50">
        <v>25167</v>
      </c>
    </row>
    <row r="219" spans="1:3" x14ac:dyDescent="0.35">
      <c r="A219" s="49" t="s">
        <v>290</v>
      </c>
      <c r="B219" s="50">
        <v>26288</v>
      </c>
      <c r="C219" s="50">
        <v>25167</v>
      </c>
    </row>
    <row r="220" spans="1:3" x14ac:dyDescent="0.35">
      <c r="A220" s="47" t="s">
        <v>291</v>
      </c>
      <c r="B220" s="54">
        <v>-4023</v>
      </c>
      <c r="C220" s="54">
        <v>-2869</v>
      </c>
    </row>
    <row r="221" spans="1:3" x14ac:dyDescent="0.35">
      <c r="A221" s="49" t="s">
        <v>448</v>
      </c>
      <c r="B221" s="48">
        <v>4144</v>
      </c>
      <c r="C221" s="48">
        <v>3269</v>
      </c>
    </row>
    <row r="222" spans="1:3" x14ac:dyDescent="0.35">
      <c r="A222" s="49" t="s">
        <v>449</v>
      </c>
      <c r="B222" s="48">
        <v>121</v>
      </c>
      <c r="C222" s="48">
        <v>400</v>
      </c>
    </row>
    <row r="223" spans="1:3" x14ac:dyDescent="0.35">
      <c r="A223" s="47" t="s">
        <v>76</v>
      </c>
      <c r="B223" s="50">
        <v>295572</v>
      </c>
      <c r="C223" s="50">
        <v>285243</v>
      </c>
    </row>
    <row r="224" spans="1:3" x14ac:dyDescent="0.35">
      <c r="A224" s="45" t="s">
        <v>292</v>
      </c>
      <c r="B224" s="46"/>
      <c r="C224" s="46"/>
    </row>
    <row r="225" spans="1:3" x14ac:dyDescent="0.35">
      <c r="A225" s="52" t="s">
        <v>293</v>
      </c>
      <c r="B225" s="53">
        <v>43675</v>
      </c>
      <c r="C225" s="53">
        <v>38662</v>
      </c>
    </row>
    <row r="226" spans="1:3" x14ac:dyDescent="0.35">
      <c r="A226" s="45" t="s">
        <v>294</v>
      </c>
      <c r="B226" s="46"/>
      <c r="C226" s="46"/>
    </row>
    <row r="227" spans="1:3" x14ac:dyDescent="0.35">
      <c r="A227" s="47" t="s">
        <v>295</v>
      </c>
      <c r="B227" s="54">
        <v>-996</v>
      </c>
      <c r="C227" s="54">
        <v>-603</v>
      </c>
    </row>
    <row r="228" spans="1:3" x14ac:dyDescent="0.35">
      <c r="A228" s="49" t="s">
        <v>81</v>
      </c>
      <c r="B228" s="48">
        <v>996</v>
      </c>
      <c r="C228" s="48">
        <v>603</v>
      </c>
    </row>
    <row r="229" spans="1:3" x14ac:dyDescent="0.35">
      <c r="A229" s="49" t="s">
        <v>297</v>
      </c>
      <c r="B229" s="48">
        <v>996</v>
      </c>
      <c r="C229" s="48">
        <v>603</v>
      </c>
    </row>
    <row r="230" spans="1:3" x14ac:dyDescent="0.35">
      <c r="A230" s="49" t="s">
        <v>298</v>
      </c>
      <c r="B230" s="48">
        <v>2272</v>
      </c>
      <c r="C230" s="48">
        <v>2137</v>
      </c>
    </row>
    <row r="231" spans="1:3" x14ac:dyDescent="0.35">
      <c r="A231" s="49" t="s">
        <v>299</v>
      </c>
      <c r="B231" s="48">
        <v>1276</v>
      </c>
      <c r="C231" s="48">
        <v>1534</v>
      </c>
    </row>
    <row r="232" spans="1:3" x14ac:dyDescent="0.35">
      <c r="A232" s="47" t="s">
        <v>437</v>
      </c>
      <c r="B232" s="48">
        <v>415</v>
      </c>
      <c r="C232" s="48">
        <v>720</v>
      </c>
    </row>
    <row r="233" spans="1:3" x14ac:dyDescent="0.35">
      <c r="A233" s="47" t="s">
        <v>303</v>
      </c>
      <c r="B233" s="48">
        <v>6194</v>
      </c>
      <c r="C233" s="48">
        <v>5064</v>
      </c>
    </row>
    <row r="234" spans="1:3" x14ac:dyDescent="0.35">
      <c r="A234" s="47" t="s">
        <v>438</v>
      </c>
      <c r="B234" s="48">
        <v>193</v>
      </c>
      <c r="C234" s="54">
        <v>-301</v>
      </c>
    </row>
    <row r="235" spans="1:3" x14ac:dyDescent="0.35">
      <c r="A235" s="49" t="s">
        <v>439</v>
      </c>
      <c r="B235" s="48">
        <v>608</v>
      </c>
      <c r="C235" s="48">
        <v>419</v>
      </c>
    </row>
    <row r="236" spans="1:3" x14ac:dyDescent="0.35">
      <c r="A236" s="49" t="s">
        <v>440</v>
      </c>
      <c r="B236" s="54">
        <v>-415</v>
      </c>
      <c r="C236" s="54">
        <v>-720</v>
      </c>
    </row>
    <row r="237" spans="1:3" x14ac:dyDescent="0.35">
      <c r="A237" s="47" t="s">
        <v>304</v>
      </c>
      <c r="B237" s="50">
        <v>49481</v>
      </c>
      <c r="C237" s="50">
        <v>43542</v>
      </c>
    </row>
    <row r="238" spans="1:3" x14ac:dyDescent="0.35">
      <c r="A238" s="45" t="s">
        <v>305</v>
      </c>
      <c r="B238" s="46"/>
      <c r="C238" s="46"/>
    </row>
    <row r="239" spans="1:3" x14ac:dyDescent="0.35">
      <c r="A239" s="47" t="s">
        <v>306</v>
      </c>
      <c r="B239" s="54">
        <v>-608</v>
      </c>
      <c r="C239" s="54">
        <v>-2274</v>
      </c>
    </row>
    <row r="240" spans="1:3" x14ac:dyDescent="0.35">
      <c r="A240" s="49" t="s">
        <v>307</v>
      </c>
      <c r="B240" s="48">
        <v>608</v>
      </c>
      <c r="C240" s="48">
        <v>1855</v>
      </c>
    </row>
    <row r="241" spans="1:3" x14ac:dyDescent="0.35">
      <c r="A241" s="49" t="s">
        <v>308</v>
      </c>
      <c r="B241" s="48">
        <v>608</v>
      </c>
      <c r="C241" s="48">
        <v>1855</v>
      </c>
    </row>
    <row r="242" spans="1:3" x14ac:dyDescent="0.35">
      <c r="A242" s="49" t="s">
        <v>310</v>
      </c>
      <c r="B242" s="50"/>
      <c r="C242" s="48">
        <v>419</v>
      </c>
    </row>
    <row r="243" spans="1:3" x14ac:dyDescent="0.35">
      <c r="A243" s="45" t="s">
        <v>313</v>
      </c>
      <c r="B243" s="46"/>
      <c r="C243" s="46"/>
    </row>
    <row r="244" spans="1:3" x14ac:dyDescent="0.35">
      <c r="A244" s="52" t="s">
        <v>83</v>
      </c>
      <c r="B244" s="53">
        <v>48873</v>
      </c>
      <c r="C244" s="53">
        <v>41268</v>
      </c>
    </row>
    <row r="245" spans="1:3" x14ac:dyDescent="0.35">
      <c r="A245" s="45" t="s">
        <v>314</v>
      </c>
      <c r="B245" s="46"/>
      <c r="C245" s="46"/>
    </row>
    <row r="246" spans="1:3" x14ac:dyDescent="0.35">
      <c r="A246" s="47" t="s">
        <v>84</v>
      </c>
      <c r="B246" s="50">
        <v>13838</v>
      </c>
      <c r="C246" s="50">
        <v>11568</v>
      </c>
    </row>
    <row r="247" spans="1:3" x14ac:dyDescent="0.35">
      <c r="A247" s="49" t="s">
        <v>315</v>
      </c>
      <c r="B247" s="50">
        <v>14001</v>
      </c>
      <c r="C247" s="50">
        <v>10414</v>
      </c>
    </row>
    <row r="248" spans="1:3" x14ac:dyDescent="0.35">
      <c r="A248" s="49" t="s">
        <v>316</v>
      </c>
      <c r="B248" s="48">
        <v>2061</v>
      </c>
      <c r="C248" s="48">
        <v>143</v>
      </c>
    </row>
    <row r="249" spans="1:3" x14ac:dyDescent="0.35">
      <c r="A249" s="49" t="s">
        <v>317</v>
      </c>
      <c r="B249" s="50">
        <v>11940</v>
      </c>
      <c r="C249" s="50">
        <v>10271</v>
      </c>
    </row>
    <row r="250" spans="1:3" x14ac:dyDescent="0.35">
      <c r="A250" s="49" t="s">
        <v>318</v>
      </c>
      <c r="B250" s="54">
        <v>-802</v>
      </c>
      <c r="C250" s="48">
        <v>1032</v>
      </c>
    </row>
    <row r="251" spans="1:3" x14ac:dyDescent="0.35">
      <c r="A251" s="49" t="s">
        <v>319</v>
      </c>
      <c r="B251" s="54">
        <v>-290</v>
      </c>
      <c r="C251" s="48">
        <v>436</v>
      </c>
    </row>
    <row r="252" spans="1:3" x14ac:dyDescent="0.35">
      <c r="A252" s="49" t="s">
        <v>320</v>
      </c>
      <c r="B252" s="54">
        <v>-512</v>
      </c>
      <c r="C252" s="48">
        <v>596</v>
      </c>
    </row>
    <row r="253" spans="1:3" x14ac:dyDescent="0.35">
      <c r="A253" s="49" t="s">
        <v>450</v>
      </c>
      <c r="B253" s="48">
        <v>639</v>
      </c>
      <c r="C253" s="48">
        <v>122</v>
      </c>
    </row>
    <row r="254" spans="1:3" x14ac:dyDescent="0.35">
      <c r="A254" s="45" t="s">
        <v>321</v>
      </c>
      <c r="B254" s="46"/>
      <c r="C254" s="46"/>
    </row>
    <row r="255" spans="1:3" x14ac:dyDescent="0.35">
      <c r="A255" s="47" t="s">
        <v>322</v>
      </c>
      <c r="B255" s="50">
        <v>35035</v>
      </c>
      <c r="C255" s="50">
        <v>29700</v>
      </c>
    </row>
    <row r="256" spans="1:3" x14ac:dyDescent="0.35">
      <c r="A256" s="45" t="s">
        <v>323</v>
      </c>
      <c r="B256" s="46"/>
      <c r="C256" s="46"/>
    </row>
    <row r="257" spans="1:3" x14ac:dyDescent="0.35">
      <c r="A257" s="52" t="s">
        <v>324</v>
      </c>
      <c r="B257" s="53">
        <v>35035</v>
      </c>
      <c r="C257" s="53">
        <v>29700</v>
      </c>
    </row>
    <row r="258" spans="1:3" x14ac:dyDescent="0.35">
      <c r="A258" s="47" t="s">
        <v>325</v>
      </c>
      <c r="B258" s="51">
        <v>28</v>
      </c>
      <c r="C258" s="51">
        <v>64</v>
      </c>
    </row>
    <row r="259" spans="1:3" x14ac:dyDescent="0.35">
      <c r="A259" s="49" t="s">
        <v>326</v>
      </c>
      <c r="B259" s="51">
        <v>28</v>
      </c>
      <c r="C259" s="51">
        <v>64</v>
      </c>
    </row>
    <row r="260" spans="1:3" x14ac:dyDescent="0.35">
      <c r="A260" s="47" t="s">
        <v>327</v>
      </c>
      <c r="B260" s="50">
        <v>35063</v>
      </c>
      <c r="C260" s="50">
        <v>29764</v>
      </c>
    </row>
    <row r="261" spans="1:3" x14ac:dyDescent="0.35">
      <c r="A261" s="47" t="s">
        <v>442</v>
      </c>
      <c r="B261" s="48">
        <v>1383</v>
      </c>
      <c r="C261" s="48">
        <v>920</v>
      </c>
    </row>
    <row r="262" spans="1:3" x14ac:dyDescent="0.35">
      <c r="A262" s="47" t="s">
        <v>85</v>
      </c>
      <c r="B262" s="50">
        <v>33680</v>
      </c>
      <c r="C262" s="50">
        <v>28844</v>
      </c>
    </row>
    <row r="263" spans="1:3" x14ac:dyDescent="0.35">
      <c r="A263" s="45" t="s">
        <v>328</v>
      </c>
      <c r="B263" s="46"/>
      <c r="C263" s="46"/>
    </row>
    <row r="264" spans="1:3" x14ac:dyDescent="0.35">
      <c r="A264" s="52" t="s">
        <v>330</v>
      </c>
      <c r="B264" s="53">
        <v>33680</v>
      </c>
      <c r="C264" s="53">
        <v>28844</v>
      </c>
    </row>
    <row r="265" spans="1:3" x14ac:dyDescent="0.35">
      <c r="A265" s="45" t="s">
        <v>331</v>
      </c>
      <c r="B265" s="46"/>
      <c r="C265" s="46"/>
    </row>
    <row r="266" spans="1:3" x14ac:dyDescent="0.35">
      <c r="A266" s="47" t="s">
        <v>332</v>
      </c>
      <c r="B266" s="50">
        <v>35063</v>
      </c>
      <c r="C266" s="50">
        <v>29764</v>
      </c>
    </row>
    <row r="267" spans="1:3" x14ac:dyDescent="0.35">
      <c r="A267" s="47" t="s">
        <v>333</v>
      </c>
      <c r="B267" s="54">
        <v>-3550</v>
      </c>
      <c r="C267" s="48">
        <v>3022</v>
      </c>
    </row>
    <row r="268" spans="1:3" x14ac:dyDescent="0.35">
      <c r="A268" s="47" t="s">
        <v>336</v>
      </c>
      <c r="B268" s="48">
        <v>600</v>
      </c>
      <c r="C268" s="48">
        <v>1047</v>
      </c>
    </row>
    <row r="269" spans="1:3" x14ac:dyDescent="0.35">
      <c r="A269" s="47" t="s">
        <v>338</v>
      </c>
      <c r="B269" s="54">
        <v>-2950</v>
      </c>
      <c r="C269" s="48">
        <v>4069</v>
      </c>
    </row>
    <row r="270" spans="1:3" x14ac:dyDescent="0.35">
      <c r="A270" s="52" t="s">
        <v>339</v>
      </c>
      <c r="B270" s="53">
        <v>32113</v>
      </c>
      <c r="C270" s="53">
        <v>33833</v>
      </c>
    </row>
    <row r="271" spans="1:3" x14ac:dyDescent="0.35">
      <c r="A271" s="47" t="s">
        <v>443</v>
      </c>
      <c r="B271" s="48">
        <v>1063</v>
      </c>
      <c r="C271" s="48">
        <v>1233</v>
      </c>
    </row>
    <row r="272" spans="1:3" x14ac:dyDescent="0.35">
      <c r="A272" s="47" t="s">
        <v>340</v>
      </c>
      <c r="B272" s="50">
        <v>31050</v>
      </c>
      <c r="C272" s="50">
        <v>32600</v>
      </c>
    </row>
    <row r="273" spans="1:3" x14ac:dyDescent="0.35">
      <c r="A273" s="45" t="s">
        <v>341</v>
      </c>
      <c r="B273" s="46"/>
      <c r="C273" s="46"/>
    </row>
    <row r="274" spans="1:3" x14ac:dyDescent="0.35">
      <c r="A274" s="47" t="s">
        <v>342</v>
      </c>
      <c r="B274" s="50">
        <v>33680</v>
      </c>
      <c r="C274" s="50">
        <v>28844</v>
      </c>
    </row>
    <row r="275" spans="1:3" x14ac:dyDescent="0.35">
      <c r="A275" s="49" t="s">
        <v>343</v>
      </c>
      <c r="B275" s="50">
        <v>33652</v>
      </c>
      <c r="C275" s="50">
        <v>28780</v>
      </c>
    </row>
    <row r="276" spans="1:3" x14ac:dyDescent="0.35">
      <c r="A276" s="49" t="s">
        <v>344</v>
      </c>
      <c r="B276" s="48">
        <v>4298</v>
      </c>
      <c r="C276" s="48">
        <v>4305</v>
      </c>
    </row>
    <row r="277" spans="1:3" x14ac:dyDescent="0.35">
      <c r="A277" s="49" t="s">
        <v>345</v>
      </c>
      <c r="B277" s="51">
        <v>7.84</v>
      </c>
      <c r="C277" s="51">
        <v>6.7</v>
      </c>
    </row>
    <row r="278" spans="1:3" x14ac:dyDescent="0.35">
      <c r="A278" s="49" t="s">
        <v>346</v>
      </c>
      <c r="B278" s="51">
        <v>7.83</v>
      </c>
      <c r="C278" s="51">
        <v>6.69</v>
      </c>
    </row>
    <row r="279" spans="1:3" x14ac:dyDescent="0.35">
      <c r="A279" s="49" t="s">
        <v>347</v>
      </c>
      <c r="B279" s="51">
        <v>7.97</v>
      </c>
      <c r="C279" s="51">
        <v>7.21</v>
      </c>
    </row>
    <row r="280" spans="1:3" x14ac:dyDescent="0.35">
      <c r="A280" s="47" t="s">
        <v>348</v>
      </c>
      <c r="B280" s="50">
        <v>33680</v>
      </c>
      <c r="C280" s="50">
        <v>28844</v>
      </c>
    </row>
    <row r="281" spans="1:3" x14ac:dyDescent="0.35">
      <c r="A281" s="47" t="s">
        <v>349</v>
      </c>
      <c r="B281" s="51">
        <v>1</v>
      </c>
      <c r="C281" s="51">
        <v>1</v>
      </c>
    </row>
    <row r="282" spans="1:3" x14ac:dyDescent="0.35">
      <c r="A282" s="49" t="s">
        <v>350</v>
      </c>
      <c r="B282" s="48">
        <v>4298</v>
      </c>
      <c r="C282" s="48">
        <v>4305</v>
      </c>
    </row>
    <row r="283" spans="1:3" x14ac:dyDescent="0.35">
      <c r="A283" s="49" t="s">
        <v>351</v>
      </c>
      <c r="B283" s="51">
        <v>7.84</v>
      </c>
      <c r="C283" s="51">
        <v>6.7</v>
      </c>
    </row>
    <row r="284" spans="1:3" x14ac:dyDescent="0.35">
      <c r="A284" s="49" t="s">
        <v>352</v>
      </c>
      <c r="B284" s="51">
        <v>7.83</v>
      </c>
      <c r="C284" s="51">
        <v>6.69</v>
      </c>
    </row>
    <row r="285" spans="1:3" x14ac:dyDescent="0.35">
      <c r="A285" s="49" t="s">
        <v>353</v>
      </c>
      <c r="B285" s="51">
        <v>7.97</v>
      </c>
      <c r="C285" s="51">
        <v>7.21</v>
      </c>
    </row>
    <row r="286" spans="1:3" x14ac:dyDescent="0.35">
      <c r="A286" s="47" t="s">
        <v>354</v>
      </c>
      <c r="B286" s="51">
        <v>0.01</v>
      </c>
      <c r="C286" s="51">
        <v>0.01</v>
      </c>
    </row>
    <row r="287" spans="1:3" x14ac:dyDescent="0.35">
      <c r="A287" s="47" t="s">
        <v>355</v>
      </c>
      <c r="B287" s="51">
        <v>7.22</v>
      </c>
      <c r="C287" s="51">
        <v>7.57</v>
      </c>
    </row>
    <row r="288" spans="1:3" x14ac:dyDescent="0.35">
      <c r="A288" s="45" t="s">
        <v>356</v>
      </c>
      <c r="B288" s="46"/>
      <c r="C288" s="46"/>
    </row>
    <row r="289" spans="1:3" x14ac:dyDescent="0.35">
      <c r="A289" s="47" t="s">
        <v>357</v>
      </c>
      <c r="B289" s="50">
        <v>33680</v>
      </c>
      <c r="C289" s="50">
        <v>28844</v>
      </c>
    </row>
    <row r="290" spans="1:3" x14ac:dyDescent="0.35">
      <c r="A290" s="49" t="s">
        <v>358</v>
      </c>
      <c r="B290" s="50">
        <v>33652</v>
      </c>
      <c r="C290" s="50">
        <v>28780</v>
      </c>
    </row>
    <row r="291" spans="1:3" x14ac:dyDescent="0.35">
      <c r="A291" s="49" t="s">
        <v>359</v>
      </c>
      <c r="B291" s="48">
        <v>4298</v>
      </c>
      <c r="C291" s="48">
        <v>4305</v>
      </c>
    </row>
    <row r="292" spans="1:3" x14ac:dyDescent="0.35">
      <c r="A292" s="49" t="s">
        <v>360</v>
      </c>
      <c r="B292" s="51">
        <v>7.84</v>
      </c>
      <c r="C292" s="51">
        <v>6.7</v>
      </c>
    </row>
    <row r="293" spans="1:3" x14ac:dyDescent="0.35">
      <c r="A293" s="49" t="s">
        <v>361</v>
      </c>
      <c r="B293" s="51">
        <v>7.83</v>
      </c>
      <c r="C293" s="51">
        <v>6.69</v>
      </c>
    </row>
    <row r="294" spans="1:3" x14ac:dyDescent="0.35">
      <c r="A294" s="49" t="s">
        <v>362</v>
      </c>
      <c r="B294" s="51">
        <v>7.97</v>
      </c>
      <c r="C294" s="51">
        <v>7.21</v>
      </c>
    </row>
    <row r="295" spans="1:3" x14ac:dyDescent="0.35">
      <c r="A295" s="47" t="s">
        <v>363</v>
      </c>
      <c r="B295" s="50">
        <v>33680</v>
      </c>
      <c r="C295" s="50">
        <v>28844</v>
      </c>
    </row>
    <row r="296" spans="1:3" x14ac:dyDescent="0.35">
      <c r="A296" s="47" t="s">
        <v>364</v>
      </c>
      <c r="B296" s="51">
        <v>1</v>
      </c>
      <c r="C296" s="51">
        <v>1</v>
      </c>
    </row>
    <row r="297" spans="1:3" x14ac:dyDescent="0.35">
      <c r="A297" s="49" t="s">
        <v>365</v>
      </c>
      <c r="B297" s="48">
        <v>4298</v>
      </c>
      <c r="C297" s="48">
        <v>4305</v>
      </c>
    </row>
    <row r="298" spans="1:3" x14ac:dyDescent="0.35">
      <c r="A298" s="49" t="s">
        <v>366</v>
      </c>
      <c r="B298" s="51">
        <v>7.84</v>
      </c>
      <c r="C298" s="51">
        <v>6.7</v>
      </c>
    </row>
    <row r="299" spans="1:3" x14ac:dyDescent="0.35">
      <c r="A299" s="49" t="s">
        <v>367</v>
      </c>
      <c r="B299" s="51">
        <v>7.83</v>
      </c>
      <c r="C299" s="51">
        <v>6.69</v>
      </c>
    </row>
    <row r="300" spans="1:3" x14ac:dyDescent="0.35">
      <c r="A300" s="49" t="s">
        <v>368</v>
      </c>
      <c r="B300" s="51">
        <v>7.97</v>
      </c>
      <c r="C300" s="51">
        <v>7.21</v>
      </c>
    </row>
    <row r="301" spans="1:3" x14ac:dyDescent="0.35">
      <c r="A301" s="47" t="s">
        <v>369</v>
      </c>
      <c r="B301" s="51">
        <v>0.01</v>
      </c>
      <c r="C301" s="51">
        <v>0.01</v>
      </c>
    </row>
    <row r="302" spans="1:3" x14ac:dyDescent="0.35">
      <c r="A302" s="47" t="s">
        <v>370</v>
      </c>
      <c r="B302" s="51">
        <v>7.22</v>
      </c>
      <c r="C302" s="51">
        <v>7.57</v>
      </c>
    </row>
    <row r="303" spans="1:3" x14ac:dyDescent="0.35">
      <c r="A303" s="45" t="s">
        <v>371</v>
      </c>
      <c r="B303" s="46"/>
      <c r="C303" s="46"/>
    </row>
    <row r="304" spans="1:3" x14ac:dyDescent="0.35">
      <c r="A304" s="47" t="s">
        <v>372</v>
      </c>
      <c r="B304" s="51">
        <v>3.84</v>
      </c>
      <c r="C304" s="51">
        <v>4</v>
      </c>
    </row>
    <row r="305" spans="1:3" x14ac:dyDescent="0.35">
      <c r="A305" s="47" t="s">
        <v>372</v>
      </c>
      <c r="B305" s="50">
        <v>0</v>
      </c>
      <c r="C305" s="50">
        <v>0</v>
      </c>
    </row>
    <row r="306" spans="1:3" x14ac:dyDescent="0.35">
      <c r="A306" s="47" t="s">
        <v>373</v>
      </c>
      <c r="B306" s="51">
        <v>3.84</v>
      </c>
      <c r="C306" s="51">
        <v>4</v>
      </c>
    </row>
    <row r="307" spans="1:3" x14ac:dyDescent="0.35">
      <c r="A307" s="47" t="s">
        <v>373</v>
      </c>
      <c r="B307" s="50">
        <v>0</v>
      </c>
      <c r="C307" s="50">
        <v>0</v>
      </c>
    </row>
    <row r="308" spans="1:3" x14ac:dyDescent="0.35">
      <c r="A308" s="45" t="s">
        <v>374</v>
      </c>
      <c r="B308" s="46"/>
      <c r="C308" s="46"/>
    </row>
    <row r="309" spans="1:3" x14ac:dyDescent="0.35">
      <c r="A309" s="47" t="s">
        <v>78</v>
      </c>
      <c r="B309" s="50">
        <v>43675</v>
      </c>
      <c r="C309" s="50">
        <v>38662</v>
      </c>
    </row>
    <row r="310" spans="1:3" x14ac:dyDescent="0.35">
      <c r="A310" s="47" t="s">
        <v>80</v>
      </c>
      <c r="B310" s="50">
        <v>67117</v>
      </c>
      <c r="C310" s="50">
        <v>62800</v>
      </c>
    </row>
    <row r="311" spans="1:3" x14ac:dyDescent="0.35">
      <c r="A311" s="47" t="s">
        <v>375</v>
      </c>
      <c r="B311" s="50">
        <v>67943</v>
      </c>
      <c r="C311" s="50">
        <v>63807</v>
      </c>
    </row>
    <row r="312" spans="1:3" x14ac:dyDescent="0.35">
      <c r="A312" s="47" t="s">
        <v>376</v>
      </c>
      <c r="B312" s="50">
        <v>69413</v>
      </c>
      <c r="C312" s="50">
        <v>65250</v>
      </c>
    </row>
    <row r="313" spans="1:3" x14ac:dyDescent="0.35">
      <c r="A313" s="45" t="s">
        <v>377</v>
      </c>
      <c r="B313" s="46"/>
      <c r="C313" s="46"/>
    </row>
    <row r="314" spans="1:3" x14ac:dyDescent="0.35">
      <c r="A314" s="47" t="s">
        <v>378</v>
      </c>
      <c r="B314" s="48">
        <v>140</v>
      </c>
      <c r="C314" s="48">
        <v>161</v>
      </c>
    </row>
    <row r="315" spans="1:3" x14ac:dyDescent="0.35">
      <c r="A315" s="49" t="s">
        <v>379</v>
      </c>
      <c r="B315" s="48">
        <v>140</v>
      </c>
      <c r="C315" s="48">
        <v>161</v>
      </c>
    </row>
    <row r="316" spans="1:3" x14ac:dyDescent="0.35">
      <c r="A316" s="49" t="s">
        <v>380</v>
      </c>
      <c r="B316" s="48">
        <v>140</v>
      </c>
      <c r="C316" s="48">
        <v>161</v>
      </c>
    </row>
    <row r="317" spans="1:3" x14ac:dyDescent="0.35">
      <c r="A317" s="45" t="s">
        <v>381</v>
      </c>
      <c r="B317" s="46"/>
      <c r="C317" s="46"/>
    </row>
    <row r="318" spans="1:3" x14ac:dyDescent="0.35">
      <c r="A318" s="47" t="s">
        <v>79</v>
      </c>
      <c r="B318" s="50">
        <v>23442</v>
      </c>
      <c r="C318" s="50">
        <v>24138</v>
      </c>
    </row>
    <row r="319" spans="1:3" x14ac:dyDescent="0.35">
      <c r="A319" s="49" t="s">
        <v>382</v>
      </c>
      <c r="B319" s="50">
        <v>23442</v>
      </c>
      <c r="C319" s="50">
        <v>24138</v>
      </c>
    </row>
    <row r="320" spans="1:3" x14ac:dyDescent="0.35">
      <c r="A320" s="45" t="s">
        <v>383</v>
      </c>
      <c r="B320" s="46"/>
      <c r="C320" s="46"/>
    </row>
    <row r="321" spans="1:3" x14ac:dyDescent="0.35">
      <c r="A321" s="47" t="s">
        <v>384</v>
      </c>
      <c r="B321" s="48">
        <v>987</v>
      </c>
      <c r="C321" s="48">
        <v>1228</v>
      </c>
    </row>
    <row r="322" spans="1:3" x14ac:dyDescent="0.35">
      <c r="A322" s="49" t="s">
        <v>72</v>
      </c>
      <c r="B322" s="48">
        <v>987</v>
      </c>
      <c r="C322" s="48">
        <v>1228</v>
      </c>
    </row>
    <row r="323" spans="1:3" x14ac:dyDescent="0.35">
      <c r="A323" s="45" t="s">
        <v>385</v>
      </c>
      <c r="B323" s="46"/>
      <c r="C323" s="46"/>
    </row>
    <row r="324" spans="1:3" x14ac:dyDescent="0.35">
      <c r="A324" s="47" t="s">
        <v>386</v>
      </c>
      <c r="B324" s="50"/>
      <c r="C324" s="50"/>
    </row>
    <row r="325" spans="1:3" x14ac:dyDescent="0.35">
      <c r="A325" s="49" t="s">
        <v>387</v>
      </c>
      <c r="B325" s="48">
        <v>659.65</v>
      </c>
      <c r="C325" s="48">
        <v>790</v>
      </c>
    </row>
    <row r="326" spans="1:3" x14ac:dyDescent="0.35">
      <c r="A326" s="49" t="s">
        <v>388</v>
      </c>
      <c r="B326" s="48">
        <v>835</v>
      </c>
      <c r="C326" s="48">
        <v>1000</v>
      </c>
    </row>
    <row r="327" spans="1:3" x14ac:dyDescent="0.35">
      <c r="A327" s="49" t="s">
        <v>389</v>
      </c>
      <c r="B327" s="48">
        <v>175.35</v>
      </c>
      <c r="C327" s="48">
        <v>210</v>
      </c>
    </row>
    <row r="328" spans="1:3" x14ac:dyDescent="0.35">
      <c r="A328" s="45" t="s">
        <v>390</v>
      </c>
      <c r="B328" s="46"/>
      <c r="C328" s="46"/>
    </row>
    <row r="329" spans="1:3" x14ac:dyDescent="0.35">
      <c r="A329" s="47" t="s">
        <v>390</v>
      </c>
      <c r="B329" s="50"/>
      <c r="C329" s="51">
        <v>37.6</v>
      </c>
    </row>
    <row r="330" spans="1:3" x14ac:dyDescent="0.35">
      <c r="A330" s="49" t="s">
        <v>391</v>
      </c>
      <c r="B330" s="50"/>
      <c r="C330" s="51">
        <v>37.200000000000003</v>
      </c>
    </row>
    <row r="331" spans="1:3" x14ac:dyDescent="0.35">
      <c r="A331" s="49" t="s">
        <v>392</v>
      </c>
      <c r="B331" s="50"/>
      <c r="C331" s="51">
        <v>0.4</v>
      </c>
    </row>
    <row r="332" spans="1:3" x14ac:dyDescent="0.35">
      <c r="A332" s="45" t="s">
        <v>451</v>
      </c>
      <c r="B332" s="46"/>
      <c r="C332" s="46"/>
    </row>
    <row r="333" spans="1:3" x14ac:dyDescent="0.35">
      <c r="A333" s="47" t="s">
        <v>452</v>
      </c>
      <c r="B333" s="50">
        <v>33464</v>
      </c>
      <c r="C333" s="50">
        <v>30109</v>
      </c>
    </row>
    <row r="334" spans="1:3" x14ac:dyDescent="0.35">
      <c r="A334" s="45" t="s">
        <v>393</v>
      </c>
      <c r="B334" s="46"/>
      <c r="C334" s="46"/>
    </row>
    <row r="335" spans="1:3" x14ac:dyDescent="0.35">
      <c r="A335" s="47" t="s">
        <v>394</v>
      </c>
      <c r="B335" s="50">
        <v>35643</v>
      </c>
      <c r="C335" s="50">
        <v>31974</v>
      </c>
    </row>
    <row r="336" spans="1:3" x14ac:dyDescent="0.35">
      <c r="A336" s="47" t="s">
        <v>395</v>
      </c>
      <c r="B336" s="50">
        <v>35643</v>
      </c>
      <c r="C336" s="50">
        <v>31974</v>
      </c>
    </row>
    <row r="337" spans="1:3" x14ac:dyDescent="0.35">
      <c r="A337" s="47" t="s">
        <v>396</v>
      </c>
      <c r="B337" s="50">
        <v>34260</v>
      </c>
      <c r="C337" s="50">
        <v>31054</v>
      </c>
    </row>
    <row r="338" spans="1:3" x14ac:dyDescent="0.35">
      <c r="A338" s="47" t="s">
        <v>397</v>
      </c>
      <c r="B338" s="50">
        <v>50477</v>
      </c>
      <c r="C338" s="50">
        <v>44145</v>
      </c>
    </row>
    <row r="339" spans="1:3" x14ac:dyDescent="0.35">
      <c r="A339" s="47" t="s">
        <v>398</v>
      </c>
      <c r="B339" s="50">
        <v>73919</v>
      </c>
      <c r="C339" s="50">
        <v>68283</v>
      </c>
    </row>
    <row r="340" spans="1:3" x14ac:dyDescent="0.35">
      <c r="A340" s="45" t="s">
        <v>399</v>
      </c>
      <c r="B340" s="46"/>
      <c r="C340" s="46"/>
    </row>
    <row r="341" spans="1:3" x14ac:dyDescent="0.35">
      <c r="A341" s="47" t="s">
        <v>400</v>
      </c>
      <c r="B341" s="48">
        <v>4632</v>
      </c>
      <c r="C341" s="48">
        <v>4268</v>
      </c>
    </row>
    <row r="342" spans="1:3" x14ac:dyDescent="0.35">
      <c r="A342" s="49" t="s">
        <v>401</v>
      </c>
      <c r="B342" s="48">
        <v>2296</v>
      </c>
      <c r="C342" s="48">
        <v>2450</v>
      </c>
    </row>
    <row r="343" spans="1:3" x14ac:dyDescent="0.35">
      <c r="A343" s="49" t="s">
        <v>402</v>
      </c>
      <c r="B343" s="48">
        <v>140</v>
      </c>
      <c r="C343" s="48">
        <v>161</v>
      </c>
    </row>
    <row r="344" spans="1:3" x14ac:dyDescent="0.35">
      <c r="A344" s="49" t="s">
        <v>403</v>
      </c>
      <c r="B344" s="48">
        <v>149</v>
      </c>
      <c r="C344" s="48">
        <v>167</v>
      </c>
    </row>
    <row r="345" spans="1:3" x14ac:dyDescent="0.35">
      <c r="A345" s="49" t="s">
        <v>404</v>
      </c>
      <c r="B345" s="48">
        <v>2047</v>
      </c>
      <c r="C345" s="48">
        <v>1490</v>
      </c>
    </row>
    <row r="346" spans="1:3" x14ac:dyDescent="0.35">
      <c r="A346" s="45" t="s">
        <v>82</v>
      </c>
      <c r="B346" s="46"/>
      <c r="C346" s="46"/>
    </row>
    <row r="347" spans="1:3" x14ac:dyDescent="0.35">
      <c r="A347" s="47" t="s">
        <v>405</v>
      </c>
      <c r="B347" s="48">
        <v>2296</v>
      </c>
      <c r="C347" s="48">
        <v>2450</v>
      </c>
    </row>
    <row r="348" spans="1:3" x14ac:dyDescent="0.35">
      <c r="A348" s="47" t="s">
        <v>406</v>
      </c>
      <c r="B348" s="50">
        <v>262505</v>
      </c>
      <c r="C348" s="50">
        <v>250810</v>
      </c>
    </row>
    <row r="349" spans="1:3" x14ac:dyDescent="0.35">
      <c r="A349" s="47" t="s">
        <v>407</v>
      </c>
      <c r="B349" s="50">
        <v>239063</v>
      </c>
      <c r="C349" s="50">
        <v>226672</v>
      </c>
    </row>
    <row r="350" spans="1:3" x14ac:dyDescent="0.35">
      <c r="A350" s="47" t="s">
        <v>408</v>
      </c>
      <c r="B350" s="48">
        <v>996</v>
      </c>
      <c r="C350" s="48">
        <v>603</v>
      </c>
    </row>
    <row r="351" spans="1:3" x14ac:dyDescent="0.35">
      <c r="A351" s="47" t="s">
        <v>280</v>
      </c>
      <c r="B351" s="50">
        <v>295572</v>
      </c>
      <c r="C351" s="50">
        <v>285243</v>
      </c>
    </row>
    <row r="352" spans="1:3" x14ac:dyDescent="0.35">
      <c r="A352" s="47" t="s">
        <v>70</v>
      </c>
      <c r="B352" s="50">
        <v>36103</v>
      </c>
      <c r="C352" s="50">
        <v>36074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64"/>
  <sheetViews>
    <sheetView workbookViewId="0"/>
  </sheetViews>
  <sheetFormatPr defaultRowHeight="14.5" x14ac:dyDescent="0.35"/>
  <cols>
    <col min="1" max="1" width="45.6328125" customWidth="1"/>
    <col min="2" max="3" width="20.6328125" customWidth="1"/>
  </cols>
  <sheetData>
    <row r="1" spans="1:3" x14ac:dyDescent="0.35">
      <c r="A1" s="93" t="s">
        <v>94</v>
      </c>
      <c r="B1" s="94"/>
      <c r="C1" s="94"/>
    </row>
    <row r="2" spans="1:3" x14ac:dyDescent="0.35">
      <c r="A2" s="95" t="s">
        <v>95</v>
      </c>
      <c r="B2" s="96" t="s">
        <v>453</v>
      </c>
    </row>
    <row r="3" spans="1:3" x14ac:dyDescent="0.35">
      <c r="A3" s="95" t="s">
        <v>97</v>
      </c>
      <c r="B3" s="95" t="s">
        <v>98</v>
      </c>
    </row>
    <row r="4" spans="1:3" x14ac:dyDescent="0.35">
      <c r="A4" s="95" t="s">
        <v>99</v>
      </c>
      <c r="B4" s="95" t="s">
        <v>98</v>
      </c>
    </row>
    <row r="5" spans="1:3" x14ac:dyDescent="0.35">
      <c r="A5" s="95" t="s">
        <v>100</v>
      </c>
      <c r="B5" s="95" t="s">
        <v>2</v>
      </c>
    </row>
    <row r="6" spans="1:3" x14ac:dyDescent="0.35">
      <c r="A6" s="95" t="s">
        <v>101</v>
      </c>
      <c r="B6" s="95" t="s">
        <v>102</v>
      </c>
    </row>
    <row r="7" spans="1:3" x14ac:dyDescent="0.35">
      <c r="A7" s="95" t="s">
        <v>103</v>
      </c>
      <c r="B7" s="95" t="s">
        <v>104</v>
      </c>
    </row>
    <row r="8" spans="1:3" x14ac:dyDescent="0.35">
      <c r="A8" s="95" t="s">
        <v>105</v>
      </c>
      <c r="B8" s="95" t="s">
        <v>106</v>
      </c>
    </row>
    <row r="9" spans="1:3" x14ac:dyDescent="0.35">
      <c r="A9" s="95" t="s">
        <v>107</v>
      </c>
      <c r="B9" s="95" t="s">
        <v>108</v>
      </c>
    </row>
    <row r="10" spans="1:3" x14ac:dyDescent="0.35">
      <c r="A10" s="95" t="s">
        <v>109</v>
      </c>
      <c r="B10" s="97">
        <v>46296.613175196799</v>
      </c>
    </row>
    <row r="11" spans="1:3" x14ac:dyDescent="0.35">
      <c r="A11" s="98" t="s">
        <v>110</v>
      </c>
      <c r="B11" s="99" t="s">
        <v>111</v>
      </c>
      <c r="C11" s="99" t="s">
        <v>112</v>
      </c>
    </row>
    <row r="12" spans="1:3" x14ac:dyDescent="0.35">
      <c r="A12" s="100" t="s">
        <v>113</v>
      </c>
      <c r="B12" s="101">
        <v>45657</v>
      </c>
      <c r="C12" s="101">
        <v>46022</v>
      </c>
    </row>
    <row r="13" spans="1:3" x14ac:dyDescent="0.35">
      <c r="A13" s="100" t="s">
        <v>114</v>
      </c>
      <c r="B13" s="101" t="s">
        <v>115</v>
      </c>
      <c r="C13" s="101" t="s">
        <v>115</v>
      </c>
    </row>
    <row r="14" spans="1:3" x14ac:dyDescent="0.35">
      <c r="A14" s="102" t="s">
        <v>116</v>
      </c>
      <c r="B14" s="98"/>
      <c r="C14" s="98"/>
    </row>
    <row r="15" spans="1:3" x14ac:dyDescent="0.35">
      <c r="A15" s="102" t="s">
        <v>117</v>
      </c>
      <c r="B15" s="103" t="s">
        <v>118</v>
      </c>
      <c r="C15" s="103" t="s">
        <v>119</v>
      </c>
    </row>
    <row r="16" spans="1:3" x14ac:dyDescent="0.35">
      <c r="A16" s="104" t="s">
        <v>120</v>
      </c>
      <c r="B16" s="105"/>
      <c r="C16" s="105"/>
    </row>
    <row r="17" spans="1:3" x14ac:dyDescent="0.35">
      <c r="A17" s="106" t="s">
        <v>121</v>
      </c>
      <c r="B17" s="107">
        <v>4657</v>
      </c>
      <c r="C17" s="107">
        <v>4688</v>
      </c>
    </row>
    <row r="18" spans="1:3" x14ac:dyDescent="0.35">
      <c r="A18" s="108" t="s">
        <v>12</v>
      </c>
      <c r="B18" s="107">
        <v>4657</v>
      </c>
      <c r="C18" s="107">
        <v>4688</v>
      </c>
    </row>
    <row r="19" spans="1:3" x14ac:dyDescent="0.35">
      <c r="A19" s="106" t="s">
        <v>122</v>
      </c>
      <c r="B19" s="109">
        <v>10708</v>
      </c>
      <c r="C19" s="107">
        <v>9877</v>
      </c>
    </row>
    <row r="20" spans="1:3" x14ac:dyDescent="0.35">
      <c r="A20" s="108" t="s">
        <v>16</v>
      </c>
      <c r="B20" s="107">
        <v>3919</v>
      </c>
      <c r="C20" s="107">
        <v>2974</v>
      </c>
    </row>
    <row r="21" spans="1:3" x14ac:dyDescent="0.35">
      <c r="A21" s="108" t="s">
        <v>123</v>
      </c>
      <c r="B21" s="107">
        <v>3939</v>
      </c>
      <c r="C21" s="107">
        <v>2993</v>
      </c>
    </row>
    <row r="22" spans="1:3" x14ac:dyDescent="0.35">
      <c r="A22" s="108" t="s">
        <v>124</v>
      </c>
      <c r="B22" s="110">
        <v>20</v>
      </c>
      <c r="C22" s="110">
        <v>19</v>
      </c>
    </row>
    <row r="23" spans="1:3" x14ac:dyDescent="0.35">
      <c r="A23" s="108" t="s">
        <v>454</v>
      </c>
      <c r="B23" s="107">
        <v>272</v>
      </c>
      <c r="C23" s="107">
        <v>236</v>
      </c>
    </row>
    <row r="24" spans="1:3" x14ac:dyDescent="0.35">
      <c r="A24" s="108" t="s">
        <v>455</v>
      </c>
      <c r="B24" s="107">
        <v>6517</v>
      </c>
      <c r="C24" s="107">
        <v>6667</v>
      </c>
    </row>
    <row r="25" spans="1:3" x14ac:dyDescent="0.35">
      <c r="A25" s="106" t="s">
        <v>18</v>
      </c>
      <c r="B25" s="107">
        <v>7761</v>
      </c>
      <c r="C25" s="107">
        <v>7591</v>
      </c>
    </row>
    <row r="26" spans="1:3" x14ac:dyDescent="0.35">
      <c r="A26" s="108" t="s">
        <v>125</v>
      </c>
      <c r="B26" s="107">
        <v>364</v>
      </c>
      <c r="C26" s="107">
        <v>406</v>
      </c>
    </row>
    <row r="27" spans="1:3" x14ac:dyDescent="0.35">
      <c r="A27" s="108" t="s">
        <v>456</v>
      </c>
      <c r="B27" s="107">
        <v>7397</v>
      </c>
      <c r="C27" s="107">
        <v>7185</v>
      </c>
    </row>
    <row r="28" spans="1:3" x14ac:dyDescent="0.35">
      <c r="A28" s="106" t="s">
        <v>127</v>
      </c>
      <c r="B28" s="107">
        <v>611</v>
      </c>
      <c r="C28" s="107">
        <v>1054</v>
      </c>
    </row>
    <row r="29" spans="1:3" x14ac:dyDescent="0.35">
      <c r="A29" s="111" t="s">
        <v>22</v>
      </c>
      <c r="B29" s="112">
        <v>23737</v>
      </c>
      <c r="C29" s="112">
        <v>23210</v>
      </c>
    </row>
    <row r="30" spans="1:3" x14ac:dyDescent="0.35">
      <c r="A30" s="104" t="s">
        <v>128</v>
      </c>
      <c r="B30" s="105"/>
      <c r="C30" s="105"/>
    </row>
    <row r="31" spans="1:3" ht="26" x14ac:dyDescent="0.35">
      <c r="A31" s="106" t="s">
        <v>130</v>
      </c>
      <c r="B31" s="107">
        <v>695</v>
      </c>
      <c r="C31" s="107">
        <v>684</v>
      </c>
    </row>
    <row r="32" spans="1:3" x14ac:dyDescent="0.35">
      <c r="A32" s="106" t="s">
        <v>131</v>
      </c>
      <c r="B32" s="107">
        <v>317</v>
      </c>
      <c r="C32" s="107">
        <v>347</v>
      </c>
    </row>
    <row r="33" spans="1:3" x14ac:dyDescent="0.35">
      <c r="A33" s="108" t="s">
        <v>457</v>
      </c>
      <c r="B33" s="107">
        <v>317</v>
      </c>
      <c r="C33" s="107">
        <v>347</v>
      </c>
    </row>
    <row r="34" spans="1:3" x14ac:dyDescent="0.35">
      <c r="A34" s="106" t="s">
        <v>27</v>
      </c>
      <c r="B34" s="109">
        <v>30412</v>
      </c>
      <c r="C34" s="109">
        <v>28689</v>
      </c>
    </row>
    <row r="35" spans="1:3" ht="26" x14ac:dyDescent="0.35">
      <c r="A35" s="108" t="s">
        <v>133</v>
      </c>
      <c r="B35" s="109">
        <v>30412</v>
      </c>
      <c r="C35" s="109">
        <v>28689</v>
      </c>
    </row>
    <row r="36" spans="1:3" x14ac:dyDescent="0.35">
      <c r="A36" s="108" t="s">
        <v>134</v>
      </c>
      <c r="B36" s="109">
        <v>53466</v>
      </c>
      <c r="C36" s="109">
        <v>51163</v>
      </c>
    </row>
    <row r="37" spans="1:3" ht="26" x14ac:dyDescent="0.35">
      <c r="A37" s="108" t="s">
        <v>135</v>
      </c>
      <c r="B37" s="109">
        <v>53466</v>
      </c>
      <c r="C37" s="109">
        <v>51163</v>
      </c>
    </row>
    <row r="38" spans="1:3" x14ac:dyDescent="0.35">
      <c r="A38" s="108" t="s">
        <v>458</v>
      </c>
      <c r="B38" s="107">
        <v>1647</v>
      </c>
      <c r="C38" s="107">
        <v>1591</v>
      </c>
    </row>
    <row r="39" spans="1:3" x14ac:dyDescent="0.35">
      <c r="A39" s="108" t="s">
        <v>459</v>
      </c>
      <c r="B39" s="107">
        <v>500</v>
      </c>
      <c r="C39" s="107">
        <v>509</v>
      </c>
    </row>
    <row r="40" spans="1:3" x14ac:dyDescent="0.35">
      <c r="A40" s="108" t="s">
        <v>460</v>
      </c>
      <c r="B40" s="107">
        <v>1147</v>
      </c>
      <c r="C40" s="107">
        <v>1082</v>
      </c>
    </row>
    <row r="41" spans="1:3" x14ac:dyDescent="0.35">
      <c r="A41" s="108" t="s">
        <v>447</v>
      </c>
      <c r="B41" s="109">
        <v>41160</v>
      </c>
      <c r="C41" s="109">
        <v>32617</v>
      </c>
    </row>
    <row r="42" spans="1:3" x14ac:dyDescent="0.35">
      <c r="A42" s="108" t="s">
        <v>461</v>
      </c>
      <c r="B42" s="107">
        <v>6013</v>
      </c>
      <c r="C42" s="109"/>
    </row>
    <row r="43" spans="1:3" x14ac:dyDescent="0.35">
      <c r="A43" s="108" t="s">
        <v>462</v>
      </c>
      <c r="B43" s="107">
        <v>604</v>
      </c>
      <c r="C43" s="107">
        <v>617</v>
      </c>
    </row>
    <row r="44" spans="1:3" x14ac:dyDescent="0.35">
      <c r="A44" s="108" t="s">
        <v>136</v>
      </c>
      <c r="B44" s="107">
        <v>4446</v>
      </c>
      <c r="C44" s="107">
        <v>4469</v>
      </c>
    </row>
    <row r="45" spans="1:3" x14ac:dyDescent="0.35">
      <c r="A45" s="108" t="s">
        <v>137</v>
      </c>
      <c r="B45" s="107">
        <v>1098</v>
      </c>
      <c r="C45" s="107">
        <v>1072</v>
      </c>
    </row>
    <row r="46" spans="1:3" ht="26" x14ac:dyDescent="0.35">
      <c r="A46" s="108" t="s">
        <v>463</v>
      </c>
      <c r="B46" s="107">
        <v>3348</v>
      </c>
      <c r="C46" s="107">
        <v>3397</v>
      </c>
    </row>
    <row r="47" spans="1:3" x14ac:dyDescent="0.35">
      <c r="A47" s="108" t="s">
        <v>138</v>
      </c>
      <c r="B47" s="107">
        <v>5609</v>
      </c>
      <c r="C47" s="109">
        <v>11869</v>
      </c>
    </row>
    <row r="48" spans="1:3" ht="26" x14ac:dyDescent="0.35">
      <c r="A48" s="108" t="s">
        <v>139</v>
      </c>
      <c r="B48" s="109">
        <v>23054</v>
      </c>
      <c r="C48" s="109">
        <v>22474</v>
      </c>
    </row>
    <row r="49" spans="1:3" ht="26" x14ac:dyDescent="0.35">
      <c r="A49" s="108" t="s">
        <v>140</v>
      </c>
      <c r="B49" s="109">
        <v>23054</v>
      </c>
      <c r="C49" s="109">
        <v>22474</v>
      </c>
    </row>
    <row r="50" spans="1:3" x14ac:dyDescent="0.35">
      <c r="A50" s="106" t="s">
        <v>141</v>
      </c>
      <c r="B50" s="107">
        <v>4571</v>
      </c>
      <c r="C50" s="107">
        <v>4675</v>
      </c>
    </row>
    <row r="51" spans="1:3" x14ac:dyDescent="0.35">
      <c r="A51" s="108" t="s">
        <v>420</v>
      </c>
      <c r="B51" s="107">
        <v>3177</v>
      </c>
      <c r="C51" s="107">
        <v>3699</v>
      </c>
    </row>
    <row r="52" spans="1:3" x14ac:dyDescent="0.35">
      <c r="A52" s="108" t="s">
        <v>31</v>
      </c>
      <c r="B52" s="107">
        <v>1394</v>
      </c>
      <c r="C52" s="107">
        <v>976</v>
      </c>
    </row>
    <row r="53" spans="1:3" x14ac:dyDescent="0.35">
      <c r="A53" s="106" t="s">
        <v>29</v>
      </c>
      <c r="B53" s="107">
        <v>411</v>
      </c>
      <c r="C53" s="107">
        <v>383</v>
      </c>
    </row>
    <row r="54" spans="1:3" x14ac:dyDescent="0.35">
      <c r="A54" s="108" t="s">
        <v>421</v>
      </c>
      <c r="B54" s="107">
        <v>260</v>
      </c>
      <c r="C54" s="107">
        <v>260</v>
      </c>
    </row>
    <row r="55" spans="1:3" x14ac:dyDescent="0.35">
      <c r="A55" s="108" t="s">
        <v>464</v>
      </c>
      <c r="B55" s="107">
        <v>151</v>
      </c>
      <c r="C55" s="107">
        <v>123</v>
      </c>
    </row>
    <row r="56" spans="1:3" x14ac:dyDescent="0.35">
      <c r="A56" s="111" t="s">
        <v>33</v>
      </c>
      <c r="B56" s="112">
        <v>36406</v>
      </c>
      <c r="C56" s="112">
        <v>34778</v>
      </c>
    </row>
    <row r="57" spans="1:3" x14ac:dyDescent="0.35">
      <c r="A57" s="104" t="s">
        <v>35</v>
      </c>
      <c r="B57" s="105"/>
      <c r="C57" s="105"/>
    </row>
    <row r="58" spans="1:3" x14ac:dyDescent="0.35">
      <c r="A58" s="111" t="s">
        <v>35</v>
      </c>
      <c r="B58" s="112">
        <v>60143</v>
      </c>
      <c r="C58" s="112">
        <v>57988</v>
      </c>
    </row>
    <row r="59" spans="1:3" x14ac:dyDescent="0.35">
      <c r="A59" s="104" t="s">
        <v>143</v>
      </c>
      <c r="B59" s="105"/>
      <c r="C59" s="105"/>
    </row>
    <row r="60" spans="1:3" x14ac:dyDescent="0.35">
      <c r="A60" s="106" t="s">
        <v>144</v>
      </c>
      <c r="B60" s="109">
        <v>13972</v>
      </c>
      <c r="C60" s="109">
        <v>12488</v>
      </c>
    </row>
    <row r="61" spans="1:3" x14ac:dyDescent="0.35">
      <c r="A61" s="108" t="s">
        <v>37</v>
      </c>
      <c r="B61" s="109">
        <v>12092</v>
      </c>
      <c r="C61" s="109">
        <v>10139</v>
      </c>
    </row>
    <row r="62" spans="1:3" x14ac:dyDescent="0.35">
      <c r="A62" s="108" t="s">
        <v>145</v>
      </c>
      <c r="B62" s="107">
        <v>1880</v>
      </c>
      <c r="C62" s="107">
        <v>2349</v>
      </c>
    </row>
    <row r="63" spans="1:3" x14ac:dyDescent="0.35">
      <c r="A63" s="106" t="s">
        <v>39</v>
      </c>
      <c r="B63" s="107">
        <v>743</v>
      </c>
      <c r="C63" s="107">
        <v>949</v>
      </c>
    </row>
    <row r="64" spans="1:3" ht="26" x14ac:dyDescent="0.35">
      <c r="A64" s="108" t="s">
        <v>146</v>
      </c>
      <c r="B64" s="107">
        <v>743</v>
      </c>
      <c r="C64" s="107">
        <v>949</v>
      </c>
    </row>
    <row r="65" spans="1:3" ht="26" x14ac:dyDescent="0.35">
      <c r="A65" s="108" t="s">
        <v>147</v>
      </c>
      <c r="B65" s="107">
        <v>499</v>
      </c>
      <c r="C65" s="107">
        <v>695</v>
      </c>
    </row>
    <row r="66" spans="1:3" x14ac:dyDescent="0.35">
      <c r="A66" s="108" t="s">
        <v>148</v>
      </c>
      <c r="B66" s="107">
        <v>244</v>
      </c>
      <c r="C66" s="107">
        <v>254</v>
      </c>
    </row>
    <row r="67" spans="1:3" x14ac:dyDescent="0.35">
      <c r="A67" s="106" t="s">
        <v>149</v>
      </c>
      <c r="B67" s="107">
        <v>170</v>
      </c>
      <c r="C67" s="110">
        <v>68</v>
      </c>
    </row>
    <row r="68" spans="1:3" x14ac:dyDescent="0.35">
      <c r="A68" s="106" t="s">
        <v>150</v>
      </c>
      <c r="B68" s="107">
        <v>378</v>
      </c>
      <c r="C68" s="107">
        <v>419</v>
      </c>
    </row>
    <row r="69" spans="1:3" x14ac:dyDescent="0.35">
      <c r="A69" s="106" t="s">
        <v>423</v>
      </c>
      <c r="B69" s="107">
        <v>232</v>
      </c>
      <c r="C69" s="107">
        <v>185</v>
      </c>
    </row>
    <row r="70" spans="1:3" x14ac:dyDescent="0.35">
      <c r="A70" s="108" t="s">
        <v>465</v>
      </c>
      <c r="B70" s="107">
        <v>164</v>
      </c>
      <c r="C70" s="110">
        <v>60</v>
      </c>
    </row>
    <row r="71" spans="1:3" x14ac:dyDescent="0.35">
      <c r="A71" s="108" t="s">
        <v>466</v>
      </c>
      <c r="B71" s="109"/>
      <c r="C71" s="110">
        <v>49</v>
      </c>
    </row>
    <row r="72" spans="1:3" x14ac:dyDescent="0.35">
      <c r="A72" s="108" t="s">
        <v>41</v>
      </c>
      <c r="B72" s="110">
        <v>68</v>
      </c>
      <c r="C72" s="110">
        <v>76</v>
      </c>
    </row>
    <row r="73" spans="1:3" x14ac:dyDescent="0.35">
      <c r="A73" s="111" t="s">
        <v>43</v>
      </c>
      <c r="B73" s="112">
        <v>15495</v>
      </c>
      <c r="C73" s="112">
        <v>14109</v>
      </c>
    </row>
    <row r="74" spans="1:3" x14ac:dyDescent="0.35">
      <c r="A74" s="104" t="s">
        <v>151</v>
      </c>
      <c r="B74" s="105"/>
      <c r="C74" s="105"/>
    </row>
    <row r="75" spans="1:3" ht="26" x14ac:dyDescent="0.35">
      <c r="A75" s="106" t="s">
        <v>467</v>
      </c>
      <c r="B75" s="107">
        <v>226</v>
      </c>
      <c r="C75" s="107">
        <v>200</v>
      </c>
    </row>
    <row r="76" spans="1:3" x14ac:dyDescent="0.35">
      <c r="A76" s="108" t="s">
        <v>468</v>
      </c>
      <c r="B76" s="107">
        <v>226</v>
      </c>
      <c r="C76" s="107">
        <v>200</v>
      </c>
    </row>
    <row r="77" spans="1:3" x14ac:dyDescent="0.35">
      <c r="A77" s="106" t="s">
        <v>45</v>
      </c>
      <c r="B77" s="107">
        <v>9720</v>
      </c>
      <c r="C77" s="107">
        <v>9670</v>
      </c>
    </row>
    <row r="78" spans="1:3" x14ac:dyDescent="0.35">
      <c r="A78" s="108" t="s">
        <v>152</v>
      </c>
      <c r="B78" s="107">
        <v>7586</v>
      </c>
      <c r="C78" s="107">
        <v>7452</v>
      </c>
    </row>
    <row r="79" spans="1:3" x14ac:dyDescent="0.35">
      <c r="A79" s="108" t="s">
        <v>153</v>
      </c>
      <c r="B79" s="107">
        <v>7586</v>
      </c>
      <c r="C79" s="107">
        <v>7452</v>
      </c>
    </row>
    <row r="80" spans="1:3" x14ac:dyDescent="0.35">
      <c r="A80" s="108" t="s">
        <v>154</v>
      </c>
      <c r="B80" s="107">
        <v>2134</v>
      </c>
      <c r="C80" s="107">
        <v>2218</v>
      </c>
    </row>
    <row r="81" spans="1:3" x14ac:dyDescent="0.35">
      <c r="A81" s="106" t="s">
        <v>155</v>
      </c>
      <c r="B81" s="107">
        <v>5267</v>
      </c>
      <c r="C81" s="107">
        <v>5146</v>
      </c>
    </row>
    <row r="82" spans="1:3" x14ac:dyDescent="0.35">
      <c r="A82" s="108" t="s">
        <v>156</v>
      </c>
      <c r="B82" s="107">
        <v>5267</v>
      </c>
      <c r="C82" s="107">
        <v>5146</v>
      </c>
    </row>
    <row r="83" spans="1:3" x14ac:dyDescent="0.35">
      <c r="A83" s="106" t="s">
        <v>157</v>
      </c>
      <c r="B83" s="107">
        <v>699</v>
      </c>
      <c r="C83" s="107">
        <v>665</v>
      </c>
    </row>
    <row r="84" spans="1:3" x14ac:dyDescent="0.35">
      <c r="A84" s="106" t="s">
        <v>158</v>
      </c>
      <c r="B84" s="107">
        <v>1215</v>
      </c>
      <c r="C84" s="107">
        <v>1593</v>
      </c>
    </row>
    <row r="85" spans="1:3" x14ac:dyDescent="0.35">
      <c r="A85" s="108" t="s">
        <v>159</v>
      </c>
      <c r="B85" s="107">
        <v>684</v>
      </c>
      <c r="C85" s="107">
        <v>1048</v>
      </c>
    </row>
    <row r="86" spans="1:3" x14ac:dyDescent="0.35">
      <c r="A86" s="108" t="s">
        <v>160</v>
      </c>
      <c r="B86" s="107">
        <v>423</v>
      </c>
      <c r="C86" s="107">
        <v>423</v>
      </c>
    </row>
    <row r="87" spans="1:3" x14ac:dyDescent="0.35">
      <c r="A87" s="108" t="s">
        <v>161</v>
      </c>
      <c r="B87" s="109"/>
      <c r="C87" s="107">
        <v>382</v>
      </c>
    </row>
    <row r="88" spans="1:3" x14ac:dyDescent="0.35">
      <c r="A88" s="108" t="s">
        <v>469</v>
      </c>
      <c r="B88" s="107">
        <v>261</v>
      </c>
      <c r="C88" s="107">
        <v>243</v>
      </c>
    </row>
    <row r="89" spans="1:3" x14ac:dyDescent="0.35">
      <c r="A89" s="108" t="s">
        <v>47</v>
      </c>
      <c r="B89" s="107">
        <v>531</v>
      </c>
      <c r="C89" s="107">
        <v>545</v>
      </c>
    </row>
    <row r="90" spans="1:3" x14ac:dyDescent="0.35">
      <c r="A90" s="106" t="s">
        <v>49</v>
      </c>
      <c r="B90" s="109">
        <v>17127</v>
      </c>
      <c r="C90" s="109">
        <v>17274</v>
      </c>
    </row>
    <row r="91" spans="1:3" x14ac:dyDescent="0.35">
      <c r="A91" s="104" t="s">
        <v>51</v>
      </c>
      <c r="B91" s="105"/>
      <c r="C91" s="105"/>
    </row>
    <row r="92" spans="1:3" x14ac:dyDescent="0.35">
      <c r="A92" s="111" t="s">
        <v>51</v>
      </c>
      <c r="B92" s="112">
        <v>32622</v>
      </c>
      <c r="C92" s="112">
        <v>31383</v>
      </c>
    </row>
    <row r="93" spans="1:3" x14ac:dyDescent="0.35">
      <c r="A93" s="104" t="s">
        <v>162</v>
      </c>
      <c r="B93" s="105"/>
      <c r="C93" s="105"/>
    </row>
    <row r="94" spans="1:3" ht="26" x14ac:dyDescent="0.35">
      <c r="A94" s="106" t="s">
        <v>163</v>
      </c>
      <c r="B94" s="109">
        <v>24512</v>
      </c>
      <c r="C94" s="109">
        <v>23725</v>
      </c>
    </row>
    <row r="95" spans="1:3" x14ac:dyDescent="0.35">
      <c r="A95" s="108" t="s">
        <v>164</v>
      </c>
      <c r="B95" s="109">
        <v>24512</v>
      </c>
      <c r="C95" s="109">
        <v>23725</v>
      </c>
    </row>
    <row r="96" spans="1:3" x14ac:dyDescent="0.35">
      <c r="A96" s="108" t="s">
        <v>165</v>
      </c>
      <c r="B96" s="109">
        <v>28178</v>
      </c>
      <c r="C96" s="109">
        <v>30753</v>
      </c>
    </row>
    <row r="97" spans="1:3" x14ac:dyDescent="0.35">
      <c r="A97" s="108" t="s">
        <v>166</v>
      </c>
      <c r="B97" s="107">
        <v>6946</v>
      </c>
      <c r="C97" s="107">
        <v>6988</v>
      </c>
    </row>
    <row r="98" spans="1:3" x14ac:dyDescent="0.35">
      <c r="A98" s="108" t="s">
        <v>167</v>
      </c>
      <c r="B98" s="110">
        <v>7</v>
      </c>
      <c r="C98" s="110">
        <v>7</v>
      </c>
    </row>
    <row r="99" spans="1:3" ht="26" x14ac:dyDescent="0.35">
      <c r="A99" s="108" t="s">
        <v>168</v>
      </c>
      <c r="B99" s="107">
        <v>6939</v>
      </c>
      <c r="C99" s="107">
        <v>6981</v>
      </c>
    </row>
    <row r="100" spans="1:3" x14ac:dyDescent="0.35">
      <c r="A100" s="108" t="s">
        <v>169</v>
      </c>
      <c r="B100" s="109">
        <v>45744</v>
      </c>
      <c r="C100" s="109">
        <v>47490</v>
      </c>
    </row>
    <row r="101" spans="1:3" x14ac:dyDescent="0.35">
      <c r="A101" s="108" t="s">
        <v>170</v>
      </c>
      <c r="B101" s="109">
        <v>47016</v>
      </c>
      <c r="C101" s="109">
        <v>47959</v>
      </c>
    </row>
    <row r="102" spans="1:3" x14ac:dyDescent="0.35">
      <c r="A102" s="108" t="s">
        <v>171</v>
      </c>
      <c r="B102" s="113">
        <v>-1272</v>
      </c>
      <c r="C102" s="113">
        <v>-469</v>
      </c>
    </row>
    <row r="103" spans="1:3" x14ac:dyDescent="0.35">
      <c r="A103" s="108" t="s">
        <v>173</v>
      </c>
      <c r="B103" s="114">
        <v>-6</v>
      </c>
      <c r="C103" s="110">
        <v>3</v>
      </c>
    </row>
    <row r="104" spans="1:3" x14ac:dyDescent="0.35">
      <c r="A104" s="108" t="s">
        <v>174</v>
      </c>
      <c r="B104" s="113">
        <v>-1264</v>
      </c>
      <c r="C104" s="113">
        <v>-602</v>
      </c>
    </row>
    <row r="105" spans="1:3" x14ac:dyDescent="0.35">
      <c r="A105" s="108" t="s">
        <v>175</v>
      </c>
      <c r="B105" s="114">
        <v>-2</v>
      </c>
      <c r="C105" s="107">
        <v>130</v>
      </c>
    </row>
    <row r="106" spans="1:3" x14ac:dyDescent="0.35">
      <c r="A106" s="108" t="s">
        <v>53</v>
      </c>
      <c r="B106" s="109">
        <v>24512</v>
      </c>
      <c r="C106" s="109">
        <v>23725</v>
      </c>
    </row>
    <row r="107" spans="1:3" x14ac:dyDescent="0.35">
      <c r="A107" s="106" t="s">
        <v>428</v>
      </c>
      <c r="B107" s="107">
        <v>3009</v>
      </c>
      <c r="C107" s="107">
        <v>2880</v>
      </c>
    </row>
    <row r="108" spans="1:3" x14ac:dyDescent="0.35">
      <c r="A108" s="104" t="s">
        <v>176</v>
      </c>
      <c r="B108" s="105"/>
      <c r="C108" s="105"/>
    </row>
    <row r="109" spans="1:3" ht="26" x14ac:dyDescent="0.35">
      <c r="A109" s="111" t="s">
        <v>57</v>
      </c>
      <c r="B109" s="112">
        <v>27521</v>
      </c>
      <c r="C109" s="112">
        <v>26605</v>
      </c>
    </row>
    <row r="110" spans="1:3" x14ac:dyDescent="0.35">
      <c r="A110" s="104" t="s">
        <v>177</v>
      </c>
      <c r="B110" s="105"/>
      <c r="C110" s="105"/>
    </row>
    <row r="111" spans="1:3" x14ac:dyDescent="0.35">
      <c r="A111" s="111" t="s">
        <v>60</v>
      </c>
      <c r="B111" s="112">
        <v>60143</v>
      </c>
      <c r="C111" s="112">
        <v>57988</v>
      </c>
    </row>
    <row r="112" spans="1:3" x14ac:dyDescent="0.35">
      <c r="A112" s="104" t="s">
        <v>178</v>
      </c>
      <c r="B112" s="105"/>
      <c r="C112" s="105"/>
    </row>
    <row r="113" spans="1:3" x14ac:dyDescent="0.35">
      <c r="A113" s="106" t="s">
        <v>179</v>
      </c>
      <c r="B113" s="107">
        <v>673.5</v>
      </c>
      <c r="C113" s="107">
        <v>673.5</v>
      </c>
    </row>
    <row r="114" spans="1:3" x14ac:dyDescent="0.35">
      <c r="A114" s="108" t="s">
        <v>180</v>
      </c>
      <c r="B114" s="107">
        <v>314.86</v>
      </c>
      <c r="C114" s="107">
        <v>298.94</v>
      </c>
    </row>
    <row r="115" spans="1:3" x14ac:dyDescent="0.35">
      <c r="A115" s="108" t="s">
        <v>181</v>
      </c>
      <c r="B115" s="107">
        <v>358.64</v>
      </c>
      <c r="C115" s="107">
        <v>374.56</v>
      </c>
    </row>
    <row r="116" spans="1:3" x14ac:dyDescent="0.35">
      <c r="A116" s="106" t="s">
        <v>182</v>
      </c>
      <c r="B116" s="107">
        <v>1200</v>
      </c>
      <c r="C116" s="107">
        <v>1200</v>
      </c>
    </row>
    <row r="117" spans="1:3" x14ac:dyDescent="0.35">
      <c r="A117" s="106" t="s">
        <v>183</v>
      </c>
      <c r="B117" s="107">
        <v>673.5</v>
      </c>
      <c r="C117" s="107">
        <v>673.5</v>
      </c>
    </row>
    <row r="118" spans="1:3" x14ac:dyDescent="0.35">
      <c r="A118" s="108" t="s">
        <v>184</v>
      </c>
      <c r="B118" s="107">
        <v>314.86</v>
      </c>
      <c r="C118" s="107">
        <v>298.94</v>
      </c>
    </row>
    <row r="119" spans="1:3" x14ac:dyDescent="0.35">
      <c r="A119" s="108" t="s">
        <v>185</v>
      </c>
      <c r="B119" s="107">
        <v>358.64</v>
      </c>
      <c r="C119" s="107">
        <v>374.56</v>
      </c>
    </row>
    <row r="120" spans="1:3" x14ac:dyDescent="0.35">
      <c r="A120" s="104" t="s">
        <v>186</v>
      </c>
      <c r="B120" s="105"/>
      <c r="C120" s="105"/>
    </row>
    <row r="121" spans="1:3" x14ac:dyDescent="0.35">
      <c r="A121" s="106" t="s">
        <v>187</v>
      </c>
      <c r="B121" s="110">
        <v>1</v>
      </c>
      <c r="C121" s="110">
        <v>1</v>
      </c>
    </row>
    <row r="122" spans="1:3" x14ac:dyDescent="0.35">
      <c r="A122" s="104" t="s">
        <v>188</v>
      </c>
      <c r="B122" s="105"/>
      <c r="C122" s="105"/>
    </row>
    <row r="123" spans="1:3" x14ac:dyDescent="0.35">
      <c r="A123" s="106" t="s">
        <v>189</v>
      </c>
      <c r="B123" s="109"/>
      <c r="C123" s="109"/>
    </row>
    <row r="124" spans="1:3" ht="26" x14ac:dyDescent="0.35">
      <c r="A124" s="108" t="s">
        <v>190</v>
      </c>
      <c r="B124" s="107">
        <v>1098</v>
      </c>
      <c r="C124" s="107">
        <v>1072</v>
      </c>
    </row>
    <row r="125" spans="1:3" x14ac:dyDescent="0.35">
      <c r="A125" s="104" t="s">
        <v>193</v>
      </c>
      <c r="B125" s="105"/>
      <c r="C125" s="105"/>
    </row>
    <row r="126" spans="1:3" x14ac:dyDescent="0.35">
      <c r="A126" s="106" t="s">
        <v>194</v>
      </c>
      <c r="B126" s="107">
        <v>1077</v>
      </c>
      <c r="C126" s="107">
        <v>1084</v>
      </c>
    </row>
    <row r="127" spans="1:3" ht="26" x14ac:dyDescent="0.35">
      <c r="A127" s="108" t="s">
        <v>195</v>
      </c>
      <c r="B127" s="107">
        <v>378</v>
      </c>
      <c r="C127" s="107">
        <v>419</v>
      </c>
    </row>
    <row r="128" spans="1:3" x14ac:dyDescent="0.35">
      <c r="A128" s="108" t="s">
        <v>196</v>
      </c>
      <c r="B128" s="107">
        <v>699</v>
      </c>
      <c r="C128" s="107">
        <v>665</v>
      </c>
    </row>
    <row r="129" spans="1:3" x14ac:dyDescent="0.35">
      <c r="A129" s="106" t="s">
        <v>197</v>
      </c>
      <c r="B129" s="107">
        <v>3455</v>
      </c>
      <c r="C129" s="107">
        <v>3556</v>
      </c>
    </row>
    <row r="130" spans="1:3" x14ac:dyDescent="0.35">
      <c r="A130" s="106" t="s">
        <v>198</v>
      </c>
      <c r="B130" s="109">
        <v>11540</v>
      </c>
      <c r="C130" s="109">
        <v>11703</v>
      </c>
    </row>
    <row r="131" spans="1:3" x14ac:dyDescent="0.35">
      <c r="A131" s="104" t="s">
        <v>199</v>
      </c>
      <c r="B131" s="105"/>
      <c r="C131" s="105"/>
    </row>
    <row r="132" spans="1:3" x14ac:dyDescent="0.35">
      <c r="A132" s="106" t="s">
        <v>201</v>
      </c>
      <c r="B132" s="109">
        <v>11025</v>
      </c>
      <c r="C132" s="109">
        <v>10224</v>
      </c>
    </row>
    <row r="133" spans="1:3" x14ac:dyDescent="0.35">
      <c r="A133" s="108" t="s">
        <v>202</v>
      </c>
      <c r="B133" s="107">
        <v>3939</v>
      </c>
      <c r="C133" s="107">
        <v>2993</v>
      </c>
    </row>
    <row r="134" spans="1:3" x14ac:dyDescent="0.35">
      <c r="A134" s="106" t="s">
        <v>203</v>
      </c>
      <c r="B134" s="107">
        <v>4571</v>
      </c>
      <c r="C134" s="107">
        <v>4675</v>
      </c>
    </row>
    <row r="135" spans="1:3" x14ac:dyDescent="0.35">
      <c r="A135" s="106" t="s">
        <v>204</v>
      </c>
      <c r="B135" s="107">
        <v>170</v>
      </c>
      <c r="C135" s="110">
        <v>68</v>
      </c>
    </row>
    <row r="136" spans="1:3" x14ac:dyDescent="0.35">
      <c r="A136" s="106" t="s">
        <v>205</v>
      </c>
      <c r="B136" s="109">
        <v>14198</v>
      </c>
      <c r="C136" s="109">
        <v>12688</v>
      </c>
    </row>
    <row r="137" spans="1:3" x14ac:dyDescent="0.35">
      <c r="A137" s="108" t="s">
        <v>206</v>
      </c>
      <c r="B137" s="109">
        <v>12092</v>
      </c>
      <c r="C137" s="109">
        <v>10139</v>
      </c>
    </row>
    <row r="138" spans="1:3" x14ac:dyDescent="0.35">
      <c r="A138" s="108" t="s">
        <v>207</v>
      </c>
      <c r="B138" s="107">
        <v>2106</v>
      </c>
      <c r="C138" s="107">
        <v>2549</v>
      </c>
    </row>
    <row r="139" spans="1:3" ht="26" x14ac:dyDescent="0.35">
      <c r="A139" s="106" t="s">
        <v>470</v>
      </c>
      <c r="B139" s="107">
        <v>5812</v>
      </c>
      <c r="C139" s="107">
        <v>6233</v>
      </c>
    </row>
    <row r="140" spans="1:3" x14ac:dyDescent="0.35">
      <c r="A140" s="104" t="s">
        <v>208</v>
      </c>
      <c r="B140" s="105"/>
      <c r="C140" s="105"/>
    </row>
    <row r="141" spans="1:3" x14ac:dyDescent="0.35">
      <c r="A141" s="106" t="s">
        <v>209</v>
      </c>
      <c r="B141" s="107">
        <v>5806</v>
      </c>
      <c r="C141" s="107">
        <v>5931</v>
      </c>
    </row>
    <row r="142" spans="1:3" x14ac:dyDescent="0.35">
      <c r="A142" s="106" t="s">
        <v>210</v>
      </c>
      <c r="B142" s="109">
        <v>10463</v>
      </c>
      <c r="C142" s="109">
        <v>10619</v>
      </c>
    </row>
    <row r="143" spans="1:3" x14ac:dyDescent="0.35">
      <c r="A143" s="106" t="s">
        <v>211</v>
      </c>
      <c r="B143" s="107">
        <v>145</v>
      </c>
      <c r="C143" s="107">
        <v>104</v>
      </c>
    </row>
    <row r="144" spans="1:3" x14ac:dyDescent="0.35">
      <c r="A144" s="106" t="s">
        <v>212</v>
      </c>
      <c r="B144" s="107">
        <v>5156</v>
      </c>
      <c r="C144" s="107">
        <v>5346</v>
      </c>
    </row>
    <row r="145" spans="1:3" x14ac:dyDescent="0.35">
      <c r="A145" s="106" t="s">
        <v>213</v>
      </c>
      <c r="B145" s="107">
        <v>5230</v>
      </c>
      <c r="C145" s="107">
        <v>5400</v>
      </c>
    </row>
    <row r="146" spans="1:3" x14ac:dyDescent="0.35">
      <c r="A146" s="104" t="s">
        <v>214</v>
      </c>
      <c r="B146" s="105"/>
      <c r="C146" s="105"/>
    </row>
    <row r="147" spans="1:3" x14ac:dyDescent="0.35">
      <c r="A147" s="106" t="s">
        <v>215</v>
      </c>
      <c r="B147" s="107">
        <v>8156</v>
      </c>
      <c r="C147" s="107">
        <v>7636</v>
      </c>
    </row>
    <row r="148" spans="1:3" x14ac:dyDescent="0.35">
      <c r="A148" s="108" t="s">
        <v>216</v>
      </c>
      <c r="B148" s="107">
        <v>499</v>
      </c>
      <c r="C148" s="109"/>
    </row>
    <row r="149" spans="1:3" x14ac:dyDescent="0.35">
      <c r="A149" s="108" t="s">
        <v>217</v>
      </c>
      <c r="B149" s="107">
        <v>672</v>
      </c>
      <c r="C149" s="107">
        <v>564</v>
      </c>
    </row>
    <row r="150" spans="1:3" x14ac:dyDescent="0.35">
      <c r="A150" s="108" t="s">
        <v>218</v>
      </c>
      <c r="B150" s="107">
        <v>564</v>
      </c>
      <c r="C150" s="107">
        <v>1047</v>
      </c>
    </row>
    <row r="151" spans="1:3" x14ac:dyDescent="0.35">
      <c r="A151" s="108" t="s">
        <v>219</v>
      </c>
      <c r="B151" s="107">
        <v>1047</v>
      </c>
      <c r="C151" s="107">
        <v>439</v>
      </c>
    </row>
    <row r="152" spans="1:3" x14ac:dyDescent="0.35">
      <c r="A152" s="108" t="s">
        <v>220</v>
      </c>
      <c r="B152" s="107">
        <v>439</v>
      </c>
      <c r="C152" s="107">
        <v>850</v>
      </c>
    </row>
    <row r="153" spans="1:3" x14ac:dyDescent="0.35">
      <c r="A153" s="108" t="s">
        <v>431</v>
      </c>
      <c r="B153" s="107">
        <v>4935</v>
      </c>
      <c r="C153" s="107">
        <v>4736</v>
      </c>
    </row>
    <row r="154" spans="1:3" x14ac:dyDescent="0.35">
      <c r="A154" s="106" t="s">
        <v>221</v>
      </c>
      <c r="B154" s="107">
        <v>1236</v>
      </c>
      <c r="C154" s="107">
        <v>1611</v>
      </c>
    </row>
    <row r="155" spans="1:3" x14ac:dyDescent="0.35">
      <c r="A155" s="106" t="s">
        <v>222</v>
      </c>
      <c r="B155" s="107">
        <v>1486</v>
      </c>
      <c r="C155" s="107">
        <v>1289</v>
      </c>
    </row>
    <row r="156" spans="1:3" x14ac:dyDescent="0.35">
      <c r="A156" s="106" t="s">
        <v>432</v>
      </c>
      <c r="B156" s="107">
        <v>4935</v>
      </c>
      <c r="C156" s="107">
        <v>4736</v>
      </c>
    </row>
    <row r="157" spans="1:3" x14ac:dyDescent="0.35">
      <c r="A157" s="104" t="s">
        <v>223</v>
      </c>
      <c r="B157" s="105"/>
      <c r="C157" s="105"/>
    </row>
    <row r="158" spans="1:3" x14ac:dyDescent="0.35">
      <c r="A158" s="106" t="s">
        <v>224</v>
      </c>
      <c r="B158" s="107">
        <v>2378</v>
      </c>
      <c r="C158" s="107">
        <v>2358</v>
      </c>
    </row>
    <row r="159" spans="1:3" x14ac:dyDescent="0.35">
      <c r="A159" s="108" t="s">
        <v>225</v>
      </c>
      <c r="B159" s="107">
        <v>353</v>
      </c>
      <c r="C159" s="107">
        <v>361</v>
      </c>
    </row>
    <row r="160" spans="1:3" x14ac:dyDescent="0.35">
      <c r="A160" s="108" t="s">
        <v>226</v>
      </c>
      <c r="B160" s="107">
        <v>325</v>
      </c>
      <c r="C160" s="107">
        <v>312</v>
      </c>
    </row>
    <row r="161" spans="1:3" x14ac:dyDescent="0.35">
      <c r="A161" s="108" t="s">
        <v>227</v>
      </c>
      <c r="B161" s="107">
        <v>294</v>
      </c>
      <c r="C161" s="107">
        <v>310</v>
      </c>
    </row>
    <row r="162" spans="1:3" x14ac:dyDescent="0.35">
      <c r="A162" s="108" t="s">
        <v>228</v>
      </c>
      <c r="B162" s="107">
        <v>292</v>
      </c>
      <c r="C162" s="107">
        <v>280</v>
      </c>
    </row>
    <row r="163" spans="1:3" x14ac:dyDescent="0.35">
      <c r="A163" s="108" t="s">
        <v>229</v>
      </c>
      <c r="B163" s="107">
        <v>263</v>
      </c>
      <c r="C163" s="107">
        <v>257</v>
      </c>
    </row>
    <row r="164" spans="1:3" x14ac:dyDescent="0.35">
      <c r="A164" s="108" t="s">
        <v>230</v>
      </c>
      <c r="B164" s="107">
        <v>1836</v>
      </c>
      <c r="C164" s="107">
        <v>1877</v>
      </c>
    </row>
    <row r="165" spans="1:3" x14ac:dyDescent="0.35">
      <c r="A165" s="108" t="s">
        <v>231</v>
      </c>
      <c r="B165" s="107">
        <v>985</v>
      </c>
      <c r="C165" s="107">
        <v>1039</v>
      </c>
    </row>
    <row r="166" spans="1:3" x14ac:dyDescent="0.35">
      <c r="A166" s="106" t="s">
        <v>232</v>
      </c>
      <c r="B166" s="107">
        <v>619</v>
      </c>
      <c r="C166" s="107">
        <v>622</v>
      </c>
    </row>
    <row r="167" spans="1:3" x14ac:dyDescent="0.35">
      <c r="A167" s="106" t="s">
        <v>233</v>
      </c>
      <c r="B167" s="107">
        <v>555</v>
      </c>
      <c r="C167" s="107">
        <v>537</v>
      </c>
    </row>
    <row r="168" spans="1:3" x14ac:dyDescent="0.35">
      <c r="A168" s="106" t="s">
        <v>234</v>
      </c>
      <c r="B168" s="107">
        <v>1836</v>
      </c>
      <c r="C168" s="107">
        <v>1877</v>
      </c>
    </row>
    <row r="169" spans="1:3" x14ac:dyDescent="0.35">
      <c r="A169" s="104" t="s">
        <v>235</v>
      </c>
      <c r="B169" s="105"/>
      <c r="C169" s="105"/>
    </row>
    <row r="170" spans="1:3" ht="26" x14ac:dyDescent="0.35">
      <c r="A170" s="106" t="s">
        <v>236</v>
      </c>
      <c r="B170" s="110">
        <v>6.2</v>
      </c>
      <c r="C170" s="110">
        <v>5.8</v>
      </c>
    </row>
    <row r="171" spans="1:3" x14ac:dyDescent="0.35">
      <c r="A171" s="106" t="s">
        <v>237</v>
      </c>
      <c r="B171" s="110">
        <v>13.2</v>
      </c>
      <c r="C171" s="110">
        <v>13.2</v>
      </c>
    </row>
    <row r="172" spans="1:3" ht="26" x14ac:dyDescent="0.35">
      <c r="A172" s="106" t="s">
        <v>238</v>
      </c>
      <c r="B172" s="115">
        <v>0</v>
      </c>
      <c r="C172" s="115">
        <v>0</v>
      </c>
    </row>
    <row r="173" spans="1:3" x14ac:dyDescent="0.35">
      <c r="A173" s="106" t="s">
        <v>239</v>
      </c>
      <c r="B173" s="115">
        <v>0</v>
      </c>
      <c r="C173" s="115">
        <v>0</v>
      </c>
    </row>
    <row r="174" spans="1:3" x14ac:dyDescent="0.35">
      <c r="A174" s="104" t="s">
        <v>82</v>
      </c>
      <c r="B174" s="105"/>
      <c r="C174" s="105"/>
    </row>
    <row r="175" spans="1:3" ht="26" x14ac:dyDescent="0.35">
      <c r="A175" s="106" t="s">
        <v>471</v>
      </c>
      <c r="B175" s="107">
        <v>164</v>
      </c>
      <c r="C175" s="110">
        <v>60</v>
      </c>
    </row>
    <row r="176" spans="1:3" x14ac:dyDescent="0.35">
      <c r="A176" s="106" t="s">
        <v>433</v>
      </c>
      <c r="B176" s="107">
        <v>3009</v>
      </c>
      <c r="C176" s="107">
        <v>2880</v>
      </c>
    </row>
    <row r="177" spans="1:3" x14ac:dyDescent="0.35">
      <c r="A177" s="106" t="s">
        <v>240</v>
      </c>
      <c r="B177" s="107">
        <v>3585</v>
      </c>
      <c r="C177" s="107">
        <v>4413</v>
      </c>
    </row>
    <row r="178" spans="1:3" x14ac:dyDescent="0.35">
      <c r="A178" s="106" t="s">
        <v>241</v>
      </c>
      <c r="B178" s="109">
        <v>54909</v>
      </c>
      <c r="C178" s="109">
        <v>52693</v>
      </c>
    </row>
    <row r="179" spans="1:3" x14ac:dyDescent="0.35">
      <c r="A179" s="106" t="s">
        <v>242</v>
      </c>
      <c r="B179" s="107">
        <v>4657</v>
      </c>
      <c r="C179" s="107">
        <v>4688</v>
      </c>
    </row>
    <row r="180" spans="1:3" x14ac:dyDescent="0.35">
      <c r="A180" s="106" t="s">
        <v>243</v>
      </c>
      <c r="B180" s="107">
        <v>4657</v>
      </c>
      <c r="C180" s="107">
        <v>4688</v>
      </c>
    </row>
    <row r="181" spans="1:3" ht="26" x14ac:dyDescent="0.35">
      <c r="A181" s="106" t="s">
        <v>244</v>
      </c>
      <c r="B181" s="109">
        <v>13472</v>
      </c>
      <c r="C181" s="109">
        <v>13499</v>
      </c>
    </row>
    <row r="182" spans="1:3" x14ac:dyDescent="0.35">
      <c r="A182" s="106" t="s">
        <v>245</v>
      </c>
      <c r="B182" s="107">
        <v>695</v>
      </c>
      <c r="C182" s="107">
        <v>684</v>
      </c>
    </row>
    <row r="183" spans="1:3" x14ac:dyDescent="0.35">
      <c r="A183" s="106" t="s">
        <v>246</v>
      </c>
      <c r="B183" s="109">
        <v>33327</v>
      </c>
      <c r="C183" s="109">
        <v>32536</v>
      </c>
    </row>
    <row r="184" spans="1:3" x14ac:dyDescent="0.35">
      <c r="A184" s="106" t="s">
        <v>247</v>
      </c>
      <c r="B184" s="109">
        <v>33327</v>
      </c>
      <c r="C184" s="109">
        <v>32536</v>
      </c>
    </row>
    <row r="185" spans="1:3" x14ac:dyDescent="0.35">
      <c r="A185" s="106" t="s">
        <v>248</v>
      </c>
      <c r="B185" s="107">
        <v>5951</v>
      </c>
      <c r="C185" s="107">
        <v>6243</v>
      </c>
    </row>
    <row r="186" spans="1:3" x14ac:dyDescent="0.35">
      <c r="A186" s="106" t="s">
        <v>249</v>
      </c>
      <c r="B186" s="109">
        <v>24512</v>
      </c>
      <c r="C186" s="109">
        <v>23725</v>
      </c>
    </row>
    <row r="187" spans="1:3" x14ac:dyDescent="0.35">
      <c r="A187" s="106" t="s">
        <v>250</v>
      </c>
      <c r="B187" s="109">
        <v>27110</v>
      </c>
      <c r="C187" s="109">
        <v>26222</v>
      </c>
    </row>
    <row r="188" spans="1:3" x14ac:dyDescent="0.35">
      <c r="A188" s="106" t="s">
        <v>251</v>
      </c>
      <c r="B188" s="109">
        <v>24101</v>
      </c>
      <c r="C188" s="109">
        <v>23342</v>
      </c>
    </row>
    <row r="189" spans="1:3" x14ac:dyDescent="0.35">
      <c r="A189" s="106" t="s">
        <v>252</v>
      </c>
      <c r="B189" s="109">
        <v>34975</v>
      </c>
      <c r="C189" s="109">
        <v>34344</v>
      </c>
    </row>
    <row r="190" spans="1:3" x14ac:dyDescent="0.35">
      <c r="A190" s="106" t="s">
        <v>253</v>
      </c>
      <c r="B190" s="109">
        <v>37984</v>
      </c>
      <c r="C190" s="109">
        <v>37224</v>
      </c>
    </row>
    <row r="191" spans="1:3" x14ac:dyDescent="0.35">
      <c r="A191" s="106" t="s">
        <v>254</v>
      </c>
      <c r="B191" s="109">
        <v>44648</v>
      </c>
      <c r="C191" s="109">
        <v>43879</v>
      </c>
    </row>
    <row r="192" spans="1:3" x14ac:dyDescent="0.35">
      <c r="A192" s="106" t="s">
        <v>255</v>
      </c>
      <c r="B192" s="109">
        <v>35829</v>
      </c>
      <c r="C192" s="109">
        <v>34171</v>
      </c>
    </row>
    <row r="193" spans="1:3" x14ac:dyDescent="0.35">
      <c r="A193" s="106" t="s">
        <v>472</v>
      </c>
      <c r="B193" s="107">
        <v>164</v>
      </c>
      <c r="C193" s="110">
        <v>60</v>
      </c>
    </row>
    <row r="194" spans="1:3" x14ac:dyDescent="0.35">
      <c r="A194" s="106" t="s">
        <v>256</v>
      </c>
      <c r="B194" s="107">
        <v>8242</v>
      </c>
      <c r="C194" s="107">
        <v>9101</v>
      </c>
    </row>
    <row r="195" spans="1:3" x14ac:dyDescent="0.35">
      <c r="A195" s="106" t="s">
        <v>257</v>
      </c>
      <c r="B195" s="107">
        <v>3585</v>
      </c>
      <c r="C195" s="107">
        <v>4413</v>
      </c>
    </row>
    <row r="196" spans="1:3" ht="26" x14ac:dyDescent="0.35">
      <c r="A196" s="106" t="s">
        <v>434</v>
      </c>
      <c r="B196" s="107">
        <v>8474</v>
      </c>
      <c r="C196" s="107">
        <v>9286</v>
      </c>
    </row>
    <row r="197" spans="1:3" x14ac:dyDescent="0.35">
      <c r="A197" s="106" t="s">
        <v>258</v>
      </c>
      <c r="B197" s="109">
        <v>24512</v>
      </c>
      <c r="C197" s="109">
        <v>23725</v>
      </c>
    </row>
    <row r="198" spans="1:3" x14ac:dyDescent="0.35">
      <c r="A198" s="104" t="s">
        <v>259</v>
      </c>
      <c r="B198" s="105"/>
      <c r="C198" s="105"/>
    </row>
    <row r="199" spans="1:3" x14ac:dyDescent="0.35">
      <c r="A199" s="106" t="s">
        <v>260</v>
      </c>
      <c r="B199" s="107">
        <v>4196</v>
      </c>
      <c r="C199" s="107">
        <v>3996</v>
      </c>
    </row>
    <row r="200" spans="1:3" x14ac:dyDescent="0.35">
      <c r="A200" s="104" t="s">
        <v>261</v>
      </c>
      <c r="B200" s="105"/>
      <c r="C200" s="105"/>
    </row>
    <row r="201" spans="1:3" x14ac:dyDescent="0.35">
      <c r="A201" s="106" t="s">
        <v>262</v>
      </c>
      <c r="B201" s="107">
        <v>1077</v>
      </c>
      <c r="C201" s="107">
        <v>1084</v>
      </c>
    </row>
    <row r="202" spans="1:3" x14ac:dyDescent="0.35">
      <c r="A202" s="108" t="s">
        <v>263</v>
      </c>
      <c r="B202" s="107">
        <v>417</v>
      </c>
      <c r="C202" s="107">
        <v>457</v>
      </c>
    </row>
    <row r="203" spans="1:3" x14ac:dyDescent="0.35">
      <c r="A203" s="108" t="s">
        <v>264</v>
      </c>
      <c r="B203" s="107">
        <v>288</v>
      </c>
      <c r="C203" s="107">
        <v>260</v>
      </c>
    </row>
    <row r="204" spans="1:3" x14ac:dyDescent="0.35">
      <c r="A204" s="108" t="s">
        <v>265</v>
      </c>
      <c r="B204" s="107">
        <v>155</v>
      </c>
      <c r="C204" s="107">
        <v>166</v>
      </c>
    </row>
    <row r="205" spans="1:3" x14ac:dyDescent="0.35">
      <c r="A205" s="108" t="s">
        <v>266</v>
      </c>
      <c r="B205" s="110">
        <v>91</v>
      </c>
      <c r="C205" s="107">
        <v>100</v>
      </c>
    </row>
    <row r="206" spans="1:3" x14ac:dyDescent="0.35">
      <c r="A206" s="108" t="s">
        <v>267</v>
      </c>
      <c r="B206" s="110">
        <v>60</v>
      </c>
      <c r="C206" s="110">
        <v>53</v>
      </c>
    </row>
    <row r="207" spans="1:3" x14ac:dyDescent="0.35">
      <c r="A207" s="108" t="s">
        <v>268</v>
      </c>
      <c r="B207" s="107">
        <v>337</v>
      </c>
      <c r="C207" s="107">
        <v>310</v>
      </c>
    </row>
    <row r="208" spans="1:3" ht="26" x14ac:dyDescent="0.35">
      <c r="A208" s="108" t="s">
        <v>269</v>
      </c>
      <c r="B208" s="107">
        <v>271</v>
      </c>
      <c r="C208" s="107">
        <v>262</v>
      </c>
    </row>
    <row r="209" spans="1:3" x14ac:dyDescent="0.35">
      <c r="A209" s="106" t="s">
        <v>270</v>
      </c>
      <c r="B209" s="107">
        <v>443</v>
      </c>
      <c r="C209" s="107">
        <v>426</v>
      </c>
    </row>
    <row r="210" spans="1:3" x14ac:dyDescent="0.35">
      <c r="A210" s="106" t="s">
        <v>271</v>
      </c>
      <c r="B210" s="107">
        <v>151</v>
      </c>
      <c r="C210" s="107">
        <v>153</v>
      </c>
    </row>
    <row r="211" spans="1:3" x14ac:dyDescent="0.35">
      <c r="A211" s="106" t="s">
        <v>272</v>
      </c>
      <c r="B211" s="107">
        <v>337</v>
      </c>
      <c r="C211" s="107">
        <v>310</v>
      </c>
    </row>
    <row r="212" spans="1:3" x14ac:dyDescent="0.35">
      <c r="A212" s="104" t="s">
        <v>273</v>
      </c>
      <c r="B212" s="105"/>
      <c r="C212" s="105"/>
    </row>
    <row r="213" spans="1:3" x14ac:dyDescent="0.35">
      <c r="A213" s="106" t="s">
        <v>274</v>
      </c>
      <c r="B213" s="107">
        <v>9898</v>
      </c>
      <c r="C213" s="107">
        <v>9785</v>
      </c>
    </row>
    <row r="214" spans="1:3" ht="26" x14ac:dyDescent="0.35">
      <c r="A214" s="106" t="s">
        <v>275</v>
      </c>
      <c r="B214" s="107">
        <v>9898</v>
      </c>
      <c r="C214" s="107">
        <v>9785</v>
      </c>
    </row>
    <row r="215" spans="1:3" x14ac:dyDescent="0.35">
      <c r="A215" s="106" t="s">
        <v>473</v>
      </c>
      <c r="B215" s="110">
        <v>24</v>
      </c>
      <c r="C215" s="109"/>
    </row>
    <row r="220" spans="1:3" x14ac:dyDescent="0.35">
      <c r="A220" s="98" t="s">
        <v>110</v>
      </c>
      <c r="B220" s="99" t="s">
        <v>111</v>
      </c>
      <c r="C220" s="99" t="s">
        <v>112</v>
      </c>
    </row>
    <row r="221" spans="1:3" x14ac:dyDescent="0.35">
      <c r="A221" s="100" t="s">
        <v>113</v>
      </c>
      <c r="B221" s="101">
        <v>45657</v>
      </c>
      <c r="C221" s="101">
        <v>46022</v>
      </c>
    </row>
    <row r="222" spans="1:3" x14ac:dyDescent="0.35">
      <c r="A222" s="100" t="s">
        <v>114</v>
      </c>
      <c r="B222" s="101" t="s">
        <v>115</v>
      </c>
      <c r="C222" s="101" t="s">
        <v>115</v>
      </c>
    </row>
    <row r="223" spans="1:3" x14ac:dyDescent="0.35">
      <c r="A223" s="102" t="s">
        <v>276</v>
      </c>
      <c r="B223" s="98"/>
      <c r="C223" s="98"/>
    </row>
    <row r="224" spans="1:3" x14ac:dyDescent="0.35">
      <c r="A224" s="102" t="s">
        <v>117</v>
      </c>
      <c r="B224" s="103" t="s">
        <v>118</v>
      </c>
      <c r="C224" s="103" t="s">
        <v>119</v>
      </c>
    </row>
    <row r="225" spans="1:3" x14ac:dyDescent="0.35">
      <c r="A225" s="104" t="s">
        <v>277</v>
      </c>
      <c r="B225" s="105"/>
      <c r="C225" s="105"/>
    </row>
    <row r="226" spans="1:3" x14ac:dyDescent="0.35">
      <c r="A226" s="106" t="s">
        <v>278</v>
      </c>
      <c r="B226" s="109">
        <v>129881</v>
      </c>
      <c r="C226" s="109">
        <v>115967</v>
      </c>
    </row>
    <row r="227" spans="1:3" x14ac:dyDescent="0.35">
      <c r="A227" s="108" t="s">
        <v>474</v>
      </c>
      <c r="B227" s="113">
        <v>-5907</v>
      </c>
      <c r="C227" s="114">
        <v>-28</v>
      </c>
    </row>
    <row r="228" spans="1:3" x14ac:dyDescent="0.35">
      <c r="A228" s="108" t="s">
        <v>475</v>
      </c>
      <c r="B228" s="109">
        <v>123974</v>
      </c>
      <c r="C228" s="109">
        <v>115939</v>
      </c>
    </row>
    <row r="229" spans="1:3" x14ac:dyDescent="0.35">
      <c r="A229" s="111" t="s">
        <v>64</v>
      </c>
      <c r="B229" s="112">
        <v>129881</v>
      </c>
      <c r="C229" s="112">
        <v>115967</v>
      </c>
    </row>
    <row r="230" spans="1:3" x14ac:dyDescent="0.35">
      <c r="A230" s="104" t="s">
        <v>280</v>
      </c>
      <c r="B230" s="105"/>
      <c r="C230" s="105"/>
    </row>
    <row r="231" spans="1:3" x14ac:dyDescent="0.35">
      <c r="A231" s="106" t="s">
        <v>281</v>
      </c>
      <c r="B231" s="109">
        <v>125121</v>
      </c>
      <c r="C231" s="109">
        <v>110598</v>
      </c>
    </row>
    <row r="232" spans="1:3" x14ac:dyDescent="0.35">
      <c r="A232" s="108" t="s">
        <v>282</v>
      </c>
      <c r="B232" s="109">
        <v>125121</v>
      </c>
      <c r="C232" s="109">
        <v>110598</v>
      </c>
    </row>
    <row r="233" spans="1:3" x14ac:dyDescent="0.35">
      <c r="A233" s="108" t="s">
        <v>283</v>
      </c>
      <c r="B233" s="107">
        <v>5831</v>
      </c>
      <c r="C233" s="107">
        <v>6344</v>
      </c>
    </row>
    <row r="234" spans="1:3" x14ac:dyDescent="0.35">
      <c r="A234" s="108" t="s">
        <v>284</v>
      </c>
      <c r="B234" s="107">
        <v>2774</v>
      </c>
      <c r="C234" s="107">
        <v>3158</v>
      </c>
    </row>
    <row r="235" spans="1:3" x14ac:dyDescent="0.35">
      <c r="A235" s="108" t="s">
        <v>435</v>
      </c>
      <c r="B235" s="109">
        <v>116516</v>
      </c>
      <c r="C235" s="109">
        <v>101096</v>
      </c>
    </row>
    <row r="236" spans="1:3" ht="26" x14ac:dyDescent="0.35">
      <c r="A236" s="108" t="s">
        <v>476</v>
      </c>
      <c r="B236" s="109">
        <v>116516</v>
      </c>
      <c r="C236" s="109">
        <v>101096</v>
      </c>
    </row>
    <row r="237" spans="1:3" x14ac:dyDescent="0.35">
      <c r="A237" s="111" t="s">
        <v>68</v>
      </c>
      <c r="B237" s="116">
        <v>4760</v>
      </c>
      <c r="C237" s="116">
        <v>5369</v>
      </c>
    </row>
    <row r="238" spans="1:3" x14ac:dyDescent="0.35">
      <c r="A238" s="106" t="s">
        <v>286</v>
      </c>
      <c r="B238" s="107">
        <v>961</v>
      </c>
      <c r="C238" s="107">
        <v>1042</v>
      </c>
    </row>
    <row r="239" spans="1:3" x14ac:dyDescent="0.35">
      <c r="A239" s="106" t="s">
        <v>291</v>
      </c>
      <c r="B239" s="110">
        <v>44</v>
      </c>
      <c r="C239" s="110">
        <v>15</v>
      </c>
    </row>
    <row r="240" spans="1:3" x14ac:dyDescent="0.35">
      <c r="A240" s="108" t="s">
        <v>449</v>
      </c>
      <c r="B240" s="110">
        <v>44</v>
      </c>
      <c r="C240" s="110">
        <v>15</v>
      </c>
    </row>
    <row r="241" spans="1:3" x14ac:dyDescent="0.35">
      <c r="A241" s="106" t="s">
        <v>76</v>
      </c>
      <c r="B241" s="109">
        <v>126126</v>
      </c>
      <c r="C241" s="109">
        <v>111655</v>
      </c>
    </row>
    <row r="242" spans="1:3" x14ac:dyDescent="0.35">
      <c r="A242" s="104" t="s">
        <v>292</v>
      </c>
      <c r="B242" s="105"/>
      <c r="C242" s="105"/>
    </row>
    <row r="243" spans="1:3" x14ac:dyDescent="0.35">
      <c r="A243" s="111" t="s">
        <v>293</v>
      </c>
      <c r="B243" s="116">
        <v>3755</v>
      </c>
      <c r="C243" s="116">
        <v>4312</v>
      </c>
    </row>
    <row r="244" spans="1:3" x14ac:dyDescent="0.35">
      <c r="A244" s="104" t="s">
        <v>294</v>
      </c>
      <c r="B244" s="105"/>
      <c r="C244" s="105"/>
    </row>
    <row r="245" spans="1:3" x14ac:dyDescent="0.35">
      <c r="A245" s="106" t="s">
        <v>295</v>
      </c>
      <c r="B245" s="113">
        <v>-556</v>
      </c>
      <c r="C245" s="113">
        <v>-556</v>
      </c>
    </row>
    <row r="246" spans="1:3" x14ac:dyDescent="0.35">
      <c r="A246" s="108" t="s">
        <v>81</v>
      </c>
      <c r="B246" s="107">
        <v>556</v>
      </c>
      <c r="C246" s="107">
        <v>556</v>
      </c>
    </row>
    <row r="247" spans="1:3" x14ac:dyDescent="0.35">
      <c r="A247" s="108" t="s">
        <v>297</v>
      </c>
      <c r="B247" s="107">
        <v>556</v>
      </c>
      <c r="C247" s="107">
        <v>556</v>
      </c>
    </row>
    <row r="248" spans="1:3" x14ac:dyDescent="0.35">
      <c r="A248" s="108" t="s">
        <v>298</v>
      </c>
      <c r="B248" s="107">
        <v>580</v>
      </c>
      <c r="C248" s="107">
        <v>576</v>
      </c>
    </row>
    <row r="249" spans="1:3" x14ac:dyDescent="0.35">
      <c r="A249" s="108" t="s">
        <v>299</v>
      </c>
      <c r="B249" s="110">
        <v>24</v>
      </c>
      <c r="C249" s="110">
        <v>20</v>
      </c>
    </row>
    <row r="250" spans="1:3" x14ac:dyDescent="0.35">
      <c r="A250" s="106" t="s">
        <v>438</v>
      </c>
      <c r="B250" s="107">
        <v>499</v>
      </c>
      <c r="C250" s="107">
        <v>380</v>
      </c>
    </row>
    <row r="251" spans="1:3" x14ac:dyDescent="0.35">
      <c r="A251" s="106" t="s">
        <v>304</v>
      </c>
      <c r="B251" s="107">
        <v>3698</v>
      </c>
      <c r="C251" s="107">
        <v>4136</v>
      </c>
    </row>
    <row r="252" spans="1:3" x14ac:dyDescent="0.35">
      <c r="A252" s="104" t="s">
        <v>305</v>
      </c>
      <c r="B252" s="105"/>
      <c r="C252" s="105"/>
    </row>
    <row r="253" spans="1:3" x14ac:dyDescent="0.35">
      <c r="A253" s="106" t="s">
        <v>306</v>
      </c>
      <c r="B253" s="109">
        <v>0</v>
      </c>
      <c r="C253" s="113">
        <v>-1131</v>
      </c>
    </row>
    <row r="254" spans="1:3" x14ac:dyDescent="0.35">
      <c r="A254" s="108" t="s">
        <v>307</v>
      </c>
      <c r="B254" s="109">
        <v>0</v>
      </c>
      <c r="C254" s="107">
        <v>1131</v>
      </c>
    </row>
    <row r="255" spans="1:3" x14ac:dyDescent="0.35">
      <c r="A255" s="108" t="s">
        <v>308</v>
      </c>
      <c r="B255" s="109">
        <v>0</v>
      </c>
      <c r="C255" s="107">
        <v>1131</v>
      </c>
    </row>
    <row r="256" spans="1:3" x14ac:dyDescent="0.35">
      <c r="A256" s="104" t="s">
        <v>313</v>
      </c>
      <c r="B256" s="105"/>
      <c r="C256" s="105"/>
    </row>
    <row r="257" spans="1:3" x14ac:dyDescent="0.35">
      <c r="A257" s="111" t="s">
        <v>83</v>
      </c>
      <c r="B257" s="116">
        <v>3698</v>
      </c>
      <c r="C257" s="116">
        <v>3005</v>
      </c>
    </row>
    <row r="258" spans="1:3" x14ac:dyDescent="0.35">
      <c r="A258" s="104" t="s">
        <v>314</v>
      </c>
      <c r="B258" s="105"/>
      <c r="C258" s="105"/>
    </row>
    <row r="259" spans="1:3" x14ac:dyDescent="0.35">
      <c r="A259" s="106" t="s">
        <v>84</v>
      </c>
      <c r="B259" s="107">
        <v>692</v>
      </c>
      <c r="C259" s="107">
        <v>759</v>
      </c>
    </row>
    <row r="260" spans="1:3" x14ac:dyDescent="0.35">
      <c r="A260" s="108" t="s">
        <v>315</v>
      </c>
      <c r="B260" s="107">
        <v>779</v>
      </c>
      <c r="C260" s="107">
        <v>956</v>
      </c>
    </row>
    <row r="261" spans="1:3" x14ac:dyDescent="0.35">
      <c r="A261" s="108" t="s">
        <v>316</v>
      </c>
      <c r="B261" s="107">
        <v>501</v>
      </c>
      <c r="C261" s="107">
        <v>626</v>
      </c>
    </row>
    <row r="262" spans="1:3" x14ac:dyDescent="0.35">
      <c r="A262" s="108" t="s">
        <v>317</v>
      </c>
      <c r="B262" s="107">
        <v>278</v>
      </c>
      <c r="C262" s="107">
        <v>330</v>
      </c>
    </row>
    <row r="263" spans="1:3" x14ac:dyDescent="0.35">
      <c r="A263" s="108" t="s">
        <v>318</v>
      </c>
      <c r="B263" s="114">
        <v>-87</v>
      </c>
      <c r="C263" s="113">
        <v>-197</v>
      </c>
    </row>
    <row r="264" spans="1:3" x14ac:dyDescent="0.35">
      <c r="A264" s="108" t="s">
        <v>319</v>
      </c>
      <c r="B264" s="113">
        <v>-112</v>
      </c>
      <c r="C264" s="113">
        <v>-375</v>
      </c>
    </row>
    <row r="265" spans="1:3" x14ac:dyDescent="0.35">
      <c r="A265" s="108" t="s">
        <v>320</v>
      </c>
      <c r="B265" s="110">
        <v>25</v>
      </c>
      <c r="C265" s="107">
        <v>178</v>
      </c>
    </row>
    <row r="266" spans="1:3" x14ac:dyDescent="0.35">
      <c r="A266" s="104" t="s">
        <v>321</v>
      </c>
      <c r="B266" s="105"/>
      <c r="C266" s="105"/>
    </row>
    <row r="267" spans="1:3" x14ac:dyDescent="0.35">
      <c r="A267" s="106" t="s">
        <v>322</v>
      </c>
      <c r="B267" s="107">
        <v>3006</v>
      </c>
      <c r="C267" s="107">
        <v>2246</v>
      </c>
    </row>
    <row r="268" spans="1:3" x14ac:dyDescent="0.35">
      <c r="A268" s="104" t="s">
        <v>323</v>
      </c>
      <c r="B268" s="105"/>
      <c r="C268" s="105"/>
    </row>
    <row r="269" spans="1:3" ht="26" x14ac:dyDescent="0.35">
      <c r="A269" s="111" t="s">
        <v>324</v>
      </c>
      <c r="B269" s="116">
        <v>3006</v>
      </c>
      <c r="C269" s="116">
        <v>2246</v>
      </c>
    </row>
    <row r="270" spans="1:3" x14ac:dyDescent="0.35">
      <c r="A270" s="106" t="s">
        <v>327</v>
      </c>
      <c r="B270" s="107">
        <v>3006</v>
      </c>
      <c r="C270" s="107">
        <v>2246</v>
      </c>
    </row>
    <row r="271" spans="1:3" x14ac:dyDescent="0.35">
      <c r="A271" s="106" t="s">
        <v>442</v>
      </c>
      <c r="B271" s="107">
        <v>236</v>
      </c>
      <c r="C271" s="113">
        <v>-102</v>
      </c>
    </row>
    <row r="272" spans="1:3" x14ac:dyDescent="0.35">
      <c r="A272" s="106" t="s">
        <v>85</v>
      </c>
      <c r="B272" s="107">
        <v>2770</v>
      </c>
      <c r="C272" s="107">
        <v>2348</v>
      </c>
    </row>
    <row r="273" spans="1:3" x14ac:dyDescent="0.35">
      <c r="A273" s="104" t="s">
        <v>328</v>
      </c>
      <c r="B273" s="105"/>
      <c r="C273" s="105"/>
    </row>
    <row r="274" spans="1:3" ht="26" x14ac:dyDescent="0.35">
      <c r="A274" s="106" t="s">
        <v>329</v>
      </c>
      <c r="B274" s="110">
        <v>8</v>
      </c>
      <c r="C274" s="110">
        <v>7</v>
      </c>
    </row>
    <row r="275" spans="1:3" x14ac:dyDescent="0.35">
      <c r="A275" s="111" t="s">
        <v>330</v>
      </c>
      <c r="B275" s="116">
        <v>2762</v>
      </c>
      <c r="C275" s="116">
        <v>2341</v>
      </c>
    </row>
    <row r="276" spans="1:3" x14ac:dyDescent="0.35">
      <c r="A276" s="104" t="s">
        <v>331</v>
      </c>
      <c r="B276" s="105"/>
      <c r="C276" s="105"/>
    </row>
    <row r="277" spans="1:3" x14ac:dyDescent="0.35">
      <c r="A277" s="106" t="s">
        <v>332</v>
      </c>
      <c r="B277" s="107">
        <v>3006</v>
      </c>
      <c r="C277" s="107">
        <v>2246</v>
      </c>
    </row>
    <row r="278" spans="1:3" x14ac:dyDescent="0.35">
      <c r="A278" s="106" t="s">
        <v>333</v>
      </c>
      <c r="B278" s="113">
        <v>-546</v>
      </c>
      <c r="C278" s="107">
        <v>659</v>
      </c>
    </row>
    <row r="279" spans="1:3" x14ac:dyDescent="0.35">
      <c r="A279" s="106" t="s">
        <v>335</v>
      </c>
      <c r="B279" s="114">
        <v>-87</v>
      </c>
      <c r="C279" s="110">
        <v>24</v>
      </c>
    </row>
    <row r="280" spans="1:3" x14ac:dyDescent="0.35">
      <c r="A280" s="106" t="s">
        <v>336</v>
      </c>
      <c r="B280" s="107">
        <v>207</v>
      </c>
      <c r="C280" s="107">
        <v>170</v>
      </c>
    </row>
    <row r="281" spans="1:3" x14ac:dyDescent="0.35">
      <c r="A281" s="106" t="s">
        <v>337</v>
      </c>
      <c r="B281" s="114">
        <v>-21</v>
      </c>
      <c r="C281" s="114">
        <v>-36</v>
      </c>
    </row>
    <row r="282" spans="1:3" x14ac:dyDescent="0.35">
      <c r="A282" s="106" t="s">
        <v>338</v>
      </c>
      <c r="B282" s="113">
        <v>-447</v>
      </c>
      <c r="C282" s="107">
        <v>817</v>
      </c>
    </row>
    <row r="283" spans="1:3" x14ac:dyDescent="0.35">
      <c r="A283" s="111" t="s">
        <v>339</v>
      </c>
      <c r="B283" s="116">
        <v>2559</v>
      </c>
      <c r="C283" s="116">
        <v>3063</v>
      </c>
    </row>
    <row r="284" spans="1:3" ht="26" x14ac:dyDescent="0.35">
      <c r="A284" s="106" t="s">
        <v>443</v>
      </c>
      <c r="B284" s="107">
        <v>191</v>
      </c>
      <c r="C284" s="114">
        <v>-88</v>
      </c>
    </row>
    <row r="285" spans="1:3" ht="26" x14ac:dyDescent="0.35">
      <c r="A285" s="106" t="s">
        <v>340</v>
      </c>
      <c r="B285" s="107">
        <v>2368</v>
      </c>
      <c r="C285" s="107">
        <v>3151</v>
      </c>
    </row>
    <row r="286" spans="1:3" x14ac:dyDescent="0.35">
      <c r="A286" s="104" t="s">
        <v>341</v>
      </c>
      <c r="B286" s="105"/>
      <c r="C286" s="105"/>
    </row>
    <row r="287" spans="1:3" ht="26" x14ac:dyDescent="0.35">
      <c r="A287" s="106" t="s">
        <v>342</v>
      </c>
      <c r="B287" s="107">
        <v>2762</v>
      </c>
      <c r="C287" s="107">
        <v>2341</v>
      </c>
    </row>
    <row r="288" spans="1:3" ht="26" x14ac:dyDescent="0.35">
      <c r="A288" s="108" t="s">
        <v>343</v>
      </c>
      <c r="B288" s="107">
        <v>2762</v>
      </c>
      <c r="C288" s="107">
        <v>2341</v>
      </c>
    </row>
    <row r="289" spans="1:3" x14ac:dyDescent="0.35">
      <c r="A289" s="108" t="s">
        <v>344</v>
      </c>
      <c r="B289" s="107">
        <v>322</v>
      </c>
      <c r="C289" s="107">
        <v>309</v>
      </c>
    </row>
    <row r="290" spans="1:3" ht="26" x14ac:dyDescent="0.35">
      <c r="A290" s="108" t="s">
        <v>345</v>
      </c>
      <c r="B290" s="110">
        <v>8.58</v>
      </c>
      <c r="C290" s="110">
        <v>7.58</v>
      </c>
    </row>
    <row r="291" spans="1:3" ht="26" x14ac:dyDescent="0.35">
      <c r="A291" s="108" t="s">
        <v>346</v>
      </c>
      <c r="B291" s="110">
        <v>8.58</v>
      </c>
      <c r="C291" s="110">
        <v>7.58</v>
      </c>
    </row>
    <row r="292" spans="1:3" ht="26" x14ac:dyDescent="0.35">
      <c r="A292" s="108" t="s">
        <v>347</v>
      </c>
      <c r="B292" s="110">
        <v>8.58</v>
      </c>
      <c r="C292" s="110">
        <v>11.24</v>
      </c>
    </row>
    <row r="293" spans="1:3" ht="26" x14ac:dyDescent="0.35">
      <c r="A293" s="106" t="s">
        <v>348</v>
      </c>
      <c r="B293" s="107">
        <v>2762</v>
      </c>
      <c r="C293" s="107">
        <v>2341</v>
      </c>
    </row>
    <row r="294" spans="1:3" x14ac:dyDescent="0.35">
      <c r="A294" s="106" t="s">
        <v>349</v>
      </c>
      <c r="B294" s="110">
        <v>1</v>
      </c>
      <c r="C294" s="110">
        <v>1</v>
      </c>
    </row>
    <row r="295" spans="1:3" x14ac:dyDescent="0.35">
      <c r="A295" s="108" t="s">
        <v>350</v>
      </c>
      <c r="B295" s="107">
        <v>322</v>
      </c>
      <c r="C295" s="107">
        <v>309</v>
      </c>
    </row>
    <row r="296" spans="1:3" ht="26" x14ac:dyDescent="0.35">
      <c r="A296" s="108" t="s">
        <v>351</v>
      </c>
      <c r="B296" s="110">
        <v>8.58</v>
      </c>
      <c r="C296" s="110">
        <v>7.58</v>
      </c>
    </row>
    <row r="297" spans="1:3" ht="26" x14ac:dyDescent="0.35">
      <c r="A297" s="108" t="s">
        <v>352</v>
      </c>
      <c r="B297" s="110">
        <v>8.58</v>
      </c>
      <c r="C297" s="110">
        <v>7.58</v>
      </c>
    </row>
    <row r="298" spans="1:3" ht="26" x14ac:dyDescent="0.35">
      <c r="A298" s="108" t="s">
        <v>353</v>
      </c>
      <c r="B298" s="110">
        <v>8.58</v>
      </c>
      <c r="C298" s="110">
        <v>11.24</v>
      </c>
    </row>
    <row r="299" spans="1:3" ht="26" x14ac:dyDescent="0.35">
      <c r="A299" s="106" t="s">
        <v>354</v>
      </c>
      <c r="B299" s="109">
        <v>0</v>
      </c>
      <c r="C299" s="109">
        <v>0</v>
      </c>
    </row>
    <row r="300" spans="1:3" x14ac:dyDescent="0.35">
      <c r="A300" s="106" t="s">
        <v>355</v>
      </c>
      <c r="B300" s="110">
        <v>7.35</v>
      </c>
      <c r="C300" s="110">
        <v>10.199999999999999</v>
      </c>
    </row>
    <row r="301" spans="1:3" x14ac:dyDescent="0.35">
      <c r="A301" s="104" t="s">
        <v>356</v>
      </c>
      <c r="B301" s="105"/>
      <c r="C301" s="105"/>
    </row>
    <row r="302" spans="1:3" ht="26" x14ac:dyDescent="0.35">
      <c r="A302" s="106" t="s">
        <v>357</v>
      </c>
      <c r="B302" s="107">
        <v>2762</v>
      </c>
      <c r="C302" s="107">
        <v>2341</v>
      </c>
    </row>
    <row r="303" spans="1:3" ht="26" x14ac:dyDescent="0.35">
      <c r="A303" s="108" t="s">
        <v>358</v>
      </c>
      <c r="B303" s="107">
        <v>2762</v>
      </c>
      <c r="C303" s="107">
        <v>2341</v>
      </c>
    </row>
    <row r="304" spans="1:3" x14ac:dyDescent="0.35">
      <c r="A304" s="108" t="s">
        <v>359</v>
      </c>
      <c r="B304" s="107">
        <v>322</v>
      </c>
      <c r="C304" s="107">
        <v>309</v>
      </c>
    </row>
    <row r="305" spans="1:3" ht="26" x14ac:dyDescent="0.35">
      <c r="A305" s="108" t="s">
        <v>360</v>
      </c>
      <c r="B305" s="110">
        <v>8.58</v>
      </c>
      <c r="C305" s="110">
        <v>7.58</v>
      </c>
    </row>
    <row r="306" spans="1:3" ht="26" x14ac:dyDescent="0.35">
      <c r="A306" s="108" t="s">
        <v>361</v>
      </c>
      <c r="B306" s="110">
        <v>8.58</v>
      </c>
      <c r="C306" s="110">
        <v>7.58</v>
      </c>
    </row>
    <row r="307" spans="1:3" ht="26" x14ac:dyDescent="0.35">
      <c r="A307" s="108" t="s">
        <v>362</v>
      </c>
      <c r="B307" s="110">
        <v>8.58</v>
      </c>
      <c r="C307" s="110">
        <v>11.24</v>
      </c>
    </row>
    <row r="308" spans="1:3" ht="26" x14ac:dyDescent="0.35">
      <c r="A308" s="106" t="s">
        <v>363</v>
      </c>
      <c r="B308" s="107">
        <v>2762</v>
      </c>
      <c r="C308" s="107">
        <v>2341</v>
      </c>
    </row>
    <row r="309" spans="1:3" x14ac:dyDescent="0.35">
      <c r="A309" s="106" t="s">
        <v>364</v>
      </c>
      <c r="B309" s="110">
        <v>1</v>
      </c>
      <c r="C309" s="110">
        <v>1</v>
      </c>
    </row>
    <row r="310" spans="1:3" x14ac:dyDescent="0.35">
      <c r="A310" s="108" t="s">
        <v>365</v>
      </c>
      <c r="B310" s="107">
        <v>322</v>
      </c>
      <c r="C310" s="107">
        <v>309</v>
      </c>
    </row>
    <row r="311" spans="1:3" ht="26" x14ac:dyDescent="0.35">
      <c r="A311" s="108" t="s">
        <v>366</v>
      </c>
      <c r="B311" s="110">
        <v>8.58</v>
      </c>
      <c r="C311" s="110">
        <v>7.58</v>
      </c>
    </row>
    <row r="312" spans="1:3" ht="26" x14ac:dyDescent="0.35">
      <c r="A312" s="108" t="s">
        <v>367</v>
      </c>
      <c r="B312" s="110">
        <v>8.58</v>
      </c>
      <c r="C312" s="110">
        <v>7.58</v>
      </c>
    </row>
    <row r="313" spans="1:3" ht="26" x14ac:dyDescent="0.35">
      <c r="A313" s="108" t="s">
        <v>368</v>
      </c>
      <c r="B313" s="110">
        <v>8.58</v>
      </c>
      <c r="C313" s="110">
        <v>11.24</v>
      </c>
    </row>
    <row r="314" spans="1:3" ht="26" x14ac:dyDescent="0.35">
      <c r="A314" s="106" t="s">
        <v>369</v>
      </c>
      <c r="B314" s="109">
        <v>0</v>
      </c>
      <c r="C314" s="109">
        <v>0</v>
      </c>
    </row>
    <row r="315" spans="1:3" ht="26" x14ac:dyDescent="0.35">
      <c r="A315" s="106" t="s">
        <v>370</v>
      </c>
      <c r="B315" s="110">
        <v>7.35</v>
      </c>
      <c r="C315" s="110">
        <v>10.199999999999999</v>
      </c>
    </row>
    <row r="316" spans="1:3" x14ac:dyDescent="0.35">
      <c r="A316" s="104" t="s">
        <v>371</v>
      </c>
      <c r="B316" s="105"/>
      <c r="C316" s="105"/>
    </row>
    <row r="317" spans="1:3" x14ac:dyDescent="0.35">
      <c r="A317" s="106" t="s">
        <v>372</v>
      </c>
      <c r="B317" s="110">
        <v>4.28</v>
      </c>
      <c r="C317" s="110">
        <v>4.5199999999999996</v>
      </c>
    </row>
    <row r="318" spans="1:3" x14ac:dyDescent="0.35">
      <c r="A318" s="106" t="s">
        <v>373</v>
      </c>
      <c r="B318" s="110">
        <v>4.28</v>
      </c>
      <c r="C318" s="110">
        <v>4.5199999999999996</v>
      </c>
    </row>
    <row r="319" spans="1:3" x14ac:dyDescent="0.35">
      <c r="A319" s="104" t="s">
        <v>374</v>
      </c>
      <c r="B319" s="105"/>
      <c r="C319" s="105"/>
    </row>
    <row r="320" spans="1:3" x14ac:dyDescent="0.35">
      <c r="A320" s="106" t="s">
        <v>78</v>
      </c>
      <c r="B320" s="107">
        <v>3755</v>
      </c>
      <c r="C320" s="107">
        <v>4312</v>
      </c>
    </row>
    <row r="321" spans="1:3" ht="26" x14ac:dyDescent="0.35">
      <c r="A321" s="106" t="s">
        <v>80</v>
      </c>
      <c r="B321" s="107">
        <v>7381</v>
      </c>
      <c r="C321" s="107">
        <v>8346</v>
      </c>
    </row>
    <row r="322" spans="1:3" ht="26" x14ac:dyDescent="0.35">
      <c r="A322" s="106" t="s">
        <v>376</v>
      </c>
      <c r="B322" s="107">
        <v>7889</v>
      </c>
      <c r="C322" s="107">
        <v>8863</v>
      </c>
    </row>
    <row r="323" spans="1:3" x14ac:dyDescent="0.35">
      <c r="A323" s="104" t="s">
        <v>377</v>
      </c>
      <c r="B323" s="105"/>
      <c r="C323" s="105"/>
    </row>
    <row r="324" spans="1:3" x14ac:dyDescent="0.35">
      <c r="A324" s="106" t="s">
        <v>378</v>
      </c>
      <c r="B324" s="107">
        <v>3035</v>
      </c>
      <c r="C324" s="107">
        <v>3513</v>
      </c>
    </row>
    <row r="325" spans="1:3" x14ac:dyDescent="0.35">
      <c r="A325" s="108" t="s">
        <v>379</v>
      </c>
      <c r="B325" s="107">
        <v>2183</v>
      </c>
      <c r="C325" s="107">
        <v>2637</v>
      </c>
    </row>
    <row r="326" spans="1:3" ht="26" x14ac:dyDescent="0.35">
      <c r="A326" s="108" t="s">
        <v>380</v>
      </c>
      <c r="B326" s="107">
        <v>283</v>
      </c>
      <c r="C326" s="107">
        <v>337</v>
      </c>
    </row>
    <row r="327" spans="1:3" x14ac:dyDescent="0.35">
      <c r="A327" s="108" t="s">
        <v>477</v>
      </c>
      <c r="B327" s="107">
        <v>852</v>
      </c>
      <c r="C327" s="107">
        <v>876</v>
      </c>
    </row>
    <row r="328" spans="1:3" x14ac:dyDescent="0.35">
      <c r="A328" s="108" t="s">
        <v>478</v>
      </c>
      <c r="B328" s="107">
        <v>852</v>
      </c>
      <c r="C328" s="107">
        <v>876</v>
      </c>
    </row>
    <row r="329" spans="1:3" x14ac:dyDescent="0.35">
      <c r="A329" s="104" t="s">
        <v>381</v>
      </c>
      <c r="B329" s="105"/>
      <c r="C329" s="105"/>
    </row>
    <row r="330" spans="1:3" x14ac:dyDescent="0.35">
      <c r="A330" s="106" t="s">
        <v>79</v>
      </c>
      <c r="B330" s="107">
        <v>3626</v>
      </c>
      <c r="C330" s="107">
        <v>4034</v>
      </c>
    </row>
    <row r="331" spans="1:3" x14ac:dyDescent="0.35">
      <c r="A331" s="108" t="s">
        <v>382</v>
      </c>
      <c r="B331" s="107">
        <v>2774</v>
      </c>
      <c r="C331" s="107">
        <v>2637</v>
      </c>
    </row>
    <row r="332" spans="1:3" x14ac:dyDescent="0.35">
      <c r="A332" s="108" t="s">
        <v>479</v>
      </c>
      <c r="B332" s="107">
        <v>852</v>
      </c>
      <c r="C332" s="107">
        <v>876</v>
      </c>
    </row>
    <row r="333" spans="1:3" x14ac:dyDescent="0.35">
      <c r="A333" s="104" t="s">
        <v>385</v>
      </c>
      <c r="B333" s="105"/>
      <c r="C333" s="105"/>
    </row>
    <row r="334" spans="1:3" x14ac:dyDescent="0.35">
      <c r="A334" s="106" t="s">
        <v>386</v>
      </c>
      <c r="B334" s="109"/>
      <c r="C334" s="109"/>
    </row>
    <row r="335" spans="1:3" ht="26" x14ac:dyDescent="0.35">
      <c r="A335" s="108" t="s">
        <v>387</v>
      </c>
      <c r="B335" s="110">
        <v>87</v>
      </c>
      <c r="C335" s="107">
        <v>101</v>
      </c>
    </row>
    <row r="336" spans="1:3" ht="26" x14ac:dyDescent="0.35">
      <c r="A336" s="108" t="s">
        <v>388</v>
      </c>
      <c r="B336" s="107">
        <v>100</v>
      </c>
      <c r="C336" s="107">
        <v>117</v>
      </c>
    </row>
    <row r="337" spans="1:3" x14ac:dyDescent="0.35">
      <c r="A337" s="108" t="s">
        <v>389</v>
      </c>
      <c r="B337" s="110">
        <v>13</v>
      </c>
      <c r="C337" s="110">
        <v>16</v>
      </c>
    </row>
    <row r="338" spans="1:3" x14ac:dyDescent="0.35">
      <c r="A338" s="104" t="s">
        <v>390</v>
      </c>
      <c r="B338" s="105"/>
      <c r="C338" s="105"/>
    </row>
    <row r="339" spans="1:3" x14ac:dyDescent="0.35">
      <c r="A339" s="106" t="s">
        <v>390</v>
      </c>
      <c r="B339" s="110">
        <v>12.2</v>
      </c>
      <c r="C339" s="110">
        <v>11.6</v>
      </c>
    </row>
    <row r="340" spans="1:3" x14ac:dyDescent="0.35">
      <c r="A340" s="108" t="s">
        <v>391</v>
      </c>
      <c r="B340" s="110">
        <v>11.7</v>
      </c>
      <c r="C340" s="110">
        <v>11.1</v>
      </c>
    </row>
    <row r="341" spans="1:3" x14ac:dyDescent="0.35">
      <c r="A341" s="108" t="s">
        <v>392</v>
      </c>
      <c r="B341" s="110">
        <v>0.5</v>
      </c>
      <c r="C341" s="110">
        <v>0.5</v>
      </c>
    </row>
    <row r="342" spans="1:3" x14ac:dyDescent="0.35">
      <c r="A342" s="104" t="s">
        <v>451</v>
      </c>
      <c r="B342" s="105"/>
      <c r="C342" s="105"/>
    </row>
    <row r="343" spans="1:3" x14ac:dyDescent="0.35">
      <c r="A343" s="106" t="s">
        <v>480</v>
      </c>
      <c r="B343" s="107">
        <v>3799</v>
      </c>
      <c r="C343" s="107">
        <v>4414</v>
      </c>
    </row>
    <row r="344" spans="1:3" x14ac:dyDescent="0.35">
      <c r="A344" s="104" t="s">
        <v>393</v>
      </c>
      <c r="B344" s="105"/>
      <c r="C344" s="105"/>
    </row>
    <row r="345" spans="1:3" x14ac:dyDescent="0.35">
      <c r="A345" s="106" t="s">
        <v>394</v>
      </c>
      <c r="B345" s="107">
        <v>3006</v>
      </c>
      <c r="C345" s="107">
        <v>3377</v>
      </c>
    </row>
    <row r="346" spans="1:3" x14ac:dyDescent="0.35">
      <c r="A346" s="106" t="s">
        <v>395</v>
      </c>
      <c r="B346" s="107">
        <v>3006</v>
      </c>
      <c r="C346" s="107">
        <v>3377</v>
      </c>
    </row>
    <row r="347" spans="1:3" x14ac:dyDescent="0.35">
      <c r="A347" s="106" t="s">
        <v>396</v>
      </c>
      <c r="B347" s="107">
        <v>2762</v>
      </c>
      <c r="C347" s="107">
        <v>3472</v>
      </c>
    </row>
    <row r="348" spans="1:3" x14ac:dyDescent="0.35">
      <c r="A348" s="106" t="s">
        <v>397</v>
      </c>
      <c r="B348" s="107">
        <v>4254</v>
      </c>
      <c r="C348" s="107">
        <v>4692</v>
      </c>
    </row>
    <row r="349" spans="1:3" ht="26" x14ac:dyDescent="0.35">
      <c r="A349" s="106" t="s">
        <v>398</v>
      </c>
      <c r="B349" s="107">
        <v>7880</v>
      </c>
      <c r="C349" s="107">
        <v>8726</v>
      </c>
    </row>
    <row r="350" spans="1:3" x14ac:dyDescent="0.35">
      <c r="A350" s="104" t="s">
        <v>399</v>
      </c>
      <c r="B350" s="105"/>
      <c r="C350" s="105"/>
    </row>
    <row r="351" spans="1:3" x14ac:dyDescent="0.35">
      <c r="A351" s="106" t="s">
        <v>400</v>
      </c>
      <c r="B351" s="107">
        <v>1392</v>
      </c>
      <c r="C351" s="107">
        <v>1513</v>
      </c>
    </row>
    <row r="352" spans="1:3" x14ac:dyDescent="0.35">
      <c r="A352" s="108" t="s">
        <v>401</v>
      </c>
      <c r="B352" s="107">
        <v>508</v>
      </c>
      <c r="C352" s="107">
        <v>517</v>
      </c>
    </row>
    <row r="353" spans="1:3" ht="26" x14ac:dyDescent="0.35">
      <c r="A353" s="108" t="s">
        <v>402</v>
      </c>
      <c r="B353" s="107">
        <v>283</v>
      </c>
      <c r="C353" s="107">
        <v>337</v>
      </c>
    </row>
    <row r="354" spans="1:3" ht="26" x14ac:dyDescent="0.35">
      <c r="A354" s="108" t="s">
        <v>481</v>
      </c>
      <c r="B354" s="107">
        <v>160</v>
      </c>
      <c r="C354" s="107">
        <v>141</v>
      </c>
    </row>
    <row r="355" spans="1:3" x14ac:dyDescent="0.35">
      <c r="A355" s="108" t="s">
        <v>403</v>
      </c>
      <c r="B355" s="107">
        <v>116</v>
      </c>
      <c r="C355" s="107">
        <v>527</v>
      </c>
    </row>
    <row r="356" spans="1:3" x14ac:dyDescent="0.35">
      <c r="A356" s="108" t="s">
        <v>404</v>
      </c>
      <c r="B356" s="107">
        <v>360</v>
      </c>
      <c r="C356" s="107">
        <v>431</v>
      </c>
    </row>
    <row r="357" spans="1:3" x14ac:dyDescent="0.35">
      <c r="A357" s="108" t="s">
        <v>482</v>
      </c>
      <c r="B357" s="110">
        <v>35</v>
      </c>
      <c r="C357" s="110">
        <v>25</v>
      </c>
    </row>
    <row r="358" spans="1:3" x14ac:dyDescent="0.35">
      <c r="A358" s="104" t="s">
        <v>82</v>
      </c>
      <c r="B358" s="105"/>
      <c r="C358" s="105"/>
    </row>
    <row r="359" spans="1:3" x14ac:dyDescent="0.35">
      <c r="A359" s="106" t="s">
        <v>405</v>
      </c>
      <c r="B359" s="107">
        <v>508</v>
      </c>
      <c r="C359" s="107">
        <v>517</v>
      </c>
    </row>
    <row r="360" spans="1:3" ht="26" x14ac:dyDescent="0.35">
      <c r="A360" s="106" t="s">
        <v>406</v>
      </c>
      <c r="B360" s="109">
        <v>125121</v>
      </c>
      <c r="C360" s="109">
        <v>110598</v>
      </c>
    </row>
    <row r="361" spans="1:3" x14ac:dyDescent="0.35">
      <c r="A361" s="106" t="s">
        <v>407</v>
      </c>
      <c r="B361" s="109">
        <v>122347</v>
      </c>
      <c r="C361" s="109">
        <v>107440</v>
      </c>
    </row>
    <row r="362" spans="1:3" x14ac:dyDescent="0.35">
      <c r="A362" s="106" t="s">
        <v>408</v>
      </c>
      <c r="B362" s="107">
        <v>556</v>
      </c>
      <c r="C362" s="107">
        <v>556</v>
      </c>
    </row>
    <row r="363" spans="1:3" x14ac:dyDescent="0.35">
      <c r="A363" s="106" t="s">
        <v>280</v>
      </c>
      <c r="B363" s="109">
        <v>126126</v>
      </c>
      <c r="C363" s="109">
        <v>111655</v>
      </c>
    </row>
    <row r="364" spans="1:3" ht="26" x14ac:dyDescent="0.35">
      <c r="A364" s="106" t="s">
        <v>70</v>
      </c>
      <c r="B364" s="107">
        <v>961</v>
      </c>
      <c r="C364" s="107">
        <v>1042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O78"/>
  <sheetViews>
    <sheetView tabSelected="1" topLeftCell="B1" zoomScale="88" workbookViewId="0">
      <selection activeCell="N5" sqref="N5"/>
    </sheetView>
  </sheetViews>
  <sheetFormatPr defaultRowHeight="14.5" x14ac:dyDescent="0.35"/>
  <cols>
    <col min="2" max="2" width="46" customWidth="1"/>
    <col min="3" max="7" width="20.6328125" customWidth="1"/>
    <col min="11" max="11" width="46" customWidth="1"/>
    <col min="12" max="15" width="20.6328125" customWidth="1"/>
  </cols>
  <sheetData>
    <row r="2" spans="2:15" x14ac:dyDescent="0.35">
      <c r="C2" s="68" t="s">
        <v>86</v>
      </c>
      <c r="D2" s="68" t="str">
        <f>L2</f>
        <v>IQVIA</v>
      </c>
      <c r="E2" s="68" t="str">
        <f t="shared" ref="E2:F2" si="0">M2</f>
        <v>Argenx</v>
      </c>
      <c r="F2" s="68" t="str">
        <f t="shared" si="0"/>
        <v>Beone</v>
      </c>
      <c r="G2" s="68" t="str">
        <f>O2</f>
        <v>ICON</v>
      </c>
      <c r="L2" s="65" t="s">
        <v>483</v>
      </c>
      <c r="M2" s="65" t="s">
        <v>802</v>
      </c>
      <c r="N2" s="65" t="s">
        <v>807</v>
      </c>
      <c r="O2" s="65" t="s">
        <v>91</v>
      </c>
    </row>
    <row r="3" spans="2:15" x14ac:dyDescent="0.35">
      <c r="K3" s="60"/>
      <c r="L3" s="60"/>
      <c r="M3" s="60"/>
      <c r="N3" s="60"/>
      <c r="O3" s="60"/>
    </row>
    <row r="4" spans="2:15" x14ac:dyDescent="0.35">
      <c r="B4" s="74" t="s">
        <v>8</v>
      </c>
      <c r="C4" s="74"/>
      <c r="D4" s="68" t="s">
        <v>92</v>
      </c>
      <c r="E4" s="68" t="s">
        <v>92</v>
      </c>
      <c r="F4" s="68" t="s">
        <v>92</v>
      </c>
      <c r="G4" s="68" t="s">
        <v>92</v>
      </c>
      <c r="K4" s="74" t="s">
        <v>8</v>
      </c>
      <c r="L4" s="87">
        <v>2025</v>
      </c>
      <c r="M4" s="87">
        <v>2025</v>
      </c>
      <c r="N4" s="87">
        <v>2025</v>
      </c>
      <c r="O4" s="87">
        <v>2025</v>
      </c>
    </row>
    <row r="5" spans="2:15" x14ac:dyDescent="0.35">
      <c r="B5" s="75"/>
      <c r="C5" s="75"/>
      <c r="D5" s="69"/>
      <c r="E5" s="69"/>
      <c r="F5" s="69"/>
      <c r="G5" s="69"/>
      <c r="K5" s="75"/>
      <c r="L5" s="69"/>
      <c r="M5" s="69"/>
      <c r="N5" s="69"/>
      <c r="O5" s="69"/>
    </row>
    <row r="6" spans="2:15" x14ac:dyDescent="0.35">
      <c r="B6" s="76" t="s">
        <v>12</v>
      </c>
      <c r="C6" s="82">
        <f ca="1">IFERROR(AVERAGE(D6:G6),0)</f>
        <v>0.26583922017857226</v>
      </c>
      <c r="D6" s="82">
        <f ca="1">IFERROR(L6/L$18,0)</f>
        <v>6.6123430403419711E-2</v>
      </c>
      <c r="E6" s="82">
        <f ca="1">IFERROR(M6/M$18,0)</f>
        <v>0.40209773699164658</v>
      </c>
      <c r="F6" s="82">
        <f ca="1">IFERROR(N6/N$18,0)</f>
        <v>0.55535093429011417</v>
      </c>
      <c r="G6" s="82">
        <f ca="1">IFERROR(O6/O$18,0)</f>
        <v>3.9784779029108548E-2</v>
      </c>
      <c r="I6" s="4"/>
      <c r="K6" s="76" t="s">
        <v>12</v>
      </c>
      <c r="L6" s="70">
        <f ca="1">SUMIF(INDIRECT("'"&amp;L$2&amp;"'!$A$1:$A$500"),$K6,INDIRECT("'"&amp;L$2&amp;"'!$C$1:$C$500"))</f>
        <v>1980</v>
      </c>
      <c r="M6" s="70">
        <f t="shared" ref="M6:O9" ca="1" si="1">SUMIF(INDIRECT("'"&amp;M$2&amp;"'!$A$1:$A$500"),$K6,INDIRECT("'"&amp;M$2&amp;"'!$C$1:$C$500"))</f>
        <v>3491.29</v>
      </c>
      <c r="N6" s="70">
        <f t="shared" ca="1" si="1"/>
        <v>4547.53</v>
      </c>
      <c r="O6" s="70">
        <f t="shared" ca="1" si="1"/>
        <v>647.29</v>
      </c>
    </row>
    <row r="7" spans="2:15" x14ac:dyDescent="0.35">
      <c r="B7" s="76" t="s">
        <v>14</v>
      </c>
      <c r="C7" s="82">
        <f t="shared" ref="C7:C33" ca="1" si="2">IFERROR(AVERAGE(D7:G7),0)</f>
        <v>2.8661458802732742E-2</v>
      </c>
      <c r="D7" s="82">
        <f t="shared" ref="D7:F33" ca="1" si="3">IFERROR(L7/L$18,0)</f>
        <v>5.3767031792679668E-3</v>
      </c>
      <c r="E7" s="82">
        <f t="shared" ref="E7:F11" ca="1" si="4">IFERROR(M7/M$18,0)</f>
        <v>0.109269132031663</v>
      </c>
      <c r="F7" s="82">
        <f t="shared" ca="1" si="4"/>
        <v>0</v>
      </c>
      <c r="G7" s="82">
        <f ca="1">IFERROR(O7/O$18,0)</f>
        <v>0</v>
      </c>
      <c r="I7" s="4"/>
      <c r="K7" s="76" t="s">
        <v>14</v>
      </c>
      <c r="L7" s="70">
        <f ca="1">SUMIF(INDIRECT("'"&amp;L$2&amp;"'!$A$1:$A$500"),$K7,INDIRECT("'"&amp;L$2&amp;"'!$C$1:$C$500"))</f>
        <v>161</v>
      </c>
      <c r="M7" s="70">
        <f t="shared" ca="1" si="1"/>
        <v>948.75</v>
      </c>
      <c r="N7" s="70">
        <f t="shared" ca="1" si="1"/>
        <v>0</v>
      </c>
      <c r="O7" s="70">
        <f t="shared" ca="1" si="1"/>
        <v>0</v>
      </c>
    </row>
    <row r="8" spans="2:15" x14ac:dyDescent="0.35">
      <c r="B8" s="76" t="s">
        <v>16</v>
      </c>
      <c r="C8" s="82">
        <f t="shared" ca="1" si="2"/>
        <v>0.12034976508952197</v>
      </c>
      <c r="D8" s="82">
        <f t="shared" ca="1" si="3"/>
        <v>0.11354528453112477</v>
      </c>
      <c r="E8" s="82">
        <f t="shared" ca="1" si="4"/>
        <v>0.17155628036933251</v>
      </c>
      <c r="F8" s="82">
        <f t="shared" ca="1" si="4"/>
        <v>0.10564481954724697</v>
      </c>
      <c r="G8" s="82">
        <f ca="1">IFERROR(O8/O$18,0)</f>
        <v>9.0652675910383604E-2</v>
      </c>
      <c r="I8" s="4"/>
      <c r="K8" s="76" t="s">
        <v>16</v>
      </c>
      <c r="L8" s="70">
        <f ca="1">SUMIF(INDIRECT("'"&amp;L$2&amp;"'!$A$1:$A$500"),$K8,INDIRECT("'"&amp;L$2&amp;"'!$C$1:$C$500"))</f>
        <v>3400</v>
      </c>
      <c r="M8" s="70">
        <f t="shared" ca="1" si="1"/>
        <v>1489.57</v>
      </c>
      <c r="N8" s="70">
        <f t="shared" ca="1" si="1"/>
        <v>865.08</v>
      </c>
      <c r="O8" s="70">
        <f t="shared" ca="1" si="1"/>
        <v>1474.9</v>
      </c>
    </row>
    <row r="9" spans="2:15" x14ac:dyDescent="0.35">
      <c r="B9" s="76" t="s">
        <v>18</v>
      </c>
      <c r="C9" s="82">
        <f t="shared" ca="1" si="2"/>
        <v>3.2203793093095803E-2</v>
      </c>
      <c r="D9" s="82">
        <f t="shared" ca="1" si="3"/>
        <v>0</v>
      </c>
      <c r="E9" s="82">
        <f t="shared" ca="1" si="4"/>
        <v>5.4537245945668902E-2</v>
      </c>
      <c r="F9" s="82">
        <f t="shared" ca="1" si="4"/>
        <v>7.4277926426714311E-2</v>
      </c>
      <c r="G9" s="82">
        <f ca="1">IFERROR(O9/O$18,0)</f>
        <v>0</v>
      </c>
      <c r="I9" s="4"/>
      <c r="K9" s="76" t="s">
        <v>18</v>
      </c>
      <c r="L9" s="70">
        <f ca="1">SUMIF(INDIRECT("'"&amp;L$2&amp;"'!$A$1:$A$500"),$K9,INDIRECT("'"&amp;L$2&amp;"'!$C$1:$C$500"))</f>
        <v>0</v>
      </c>
      <c r="M9" s="70">
        <f t="shared" ca="1" si="1"/>
        <v>473.53</v>
      </c>
      <c r="N9" s="70">
        <f t="shared" ca="1" si="1"/>
        <v>608.23</v>
      </c>
      <c r="O9" s="70">
        <f t="shared" ca="1" si="1"/>
        <v>0</v>
      </c>
    </row>
    <row r="10" spans="2:15" x14ac:dyDescent="0.35">
      <c r="B10" s="76" t="s">
        <v>20</v>
      </c>
      <c r="C10" s="82">
        <f t="shared" ca="1" si="2"/>
        <v>4.7883613226106986E-2</v>
      </c>
      <c r="D10" s="82">
        <f t="shared" ca="1" si="3"/>
        <v>2.3644135720010687E-2</v>
      </c>
      <c r="E10" s="82">
        <f t="shared" ca="1" si="4"/>
        <v>5.7120546743002563E-2</v>
      </c>
      <c r="F10" s="82">
        <f t="shared" ca="1" si="4"/>
        <v>2.5981337400791591E-2</v>
      </c>
      <c r="G10" s="82">
        <f ca="1">IFERROR(O10/O$18,0)</f>
        <v>8.4788433040623126E-2</v>
      </c>
      <c r="I10" s="4"/>
      <c r="K10" s="76" t="s">
        <v>20</v>
      </c>
      <c r="L10" s="78">
        <f ca="1">SUMIF(INDIRECT("'"&amp;L$2&amp;"'!$A$1:$A$500"),$K11,INDIRECT("'"&amp;L$2&amp;"'!$C$1:$C$500"))-SUM(L6:L9)</f>
        <v>708</v>
      </c>
      <c r="M10" s="78">
        <f t="shared" ref="M10:O10" ca="1" si="5">SUMIF(INDIRECT("'"&amp;M$2&amp;"'!$A$1:$A$500"),$K11,INDIRECT("'"&amp;M$2&amp;"'!$C$1:$C$500"))-SUM(M6:M9)</f>
        <v>495.96000000000095</v>
      </c>
      <c r="N10" s="78">
        <f t="shared" ca="1" si="5"/>
        <v>212.75</v>
      </c>
      <c r="O10" s="78">
        <f t="shared" ca="1" si="5"/>
        <v>1379.4899999999998</v>
      </c>
    </row>
    <row r="11" spans="2:15" x14ac:dyDescent="0.35">
      <c r="B11" s="77" t="s">
        <v>22</v>
      </c>
      <c r="C11" s="81">
        <f t="shared" ca="1" si="2"/>
        <v>0.49493785039002974</v>
      </c>
      <c r="D11" s="81">
        <f t="shared" ca="1" si="3"/>
        <v>0.20868955383382315</v>
      </c>
      <c r="E11" s="81">
        <f t="shared" ca="1" si="4"/>
        <v>0.79458094208131347</v>
      </c>
      <c r="F11" s="81">
        <f t="shared" ca="1" si="4"/>
        <v>0.76125501766486703</v>
      </c>
      <c r="G11" s="81">
        <f ca="1">IFERROR(O11/O$18,0)</f>
        <v>0.21522588798011527</v>
      </c>
      <c r="I11" s="5"/>
      <c r="K11" s="77" t="s">
        <v>22</v>
      </c>
      <c r="L11" s="73">
        <f ca="1">SUM(L6:L10)</f>
        <v>6249</v>
      </c>
      <c r="M11" s="73">
        <f t="shared" ref="M11:O11" ca="1" si="6">SUM(M6:M10)</f>
        <v>6899.1</v>
      </c>
      <c r="N11" s="73">
        <f t="shared" ca="1" si="6"/>
        <v>6233.59</v>
      </c>
      <c r="O11" s="73">
        <f t="shared" ca="1" si="6"/>
        <v>3501.68</v>
      </c>
    </row>
    <row r="12" spans="2:15" x14ac:dyDescent="0.35">
      <c r="B12" s="75"/>
      <c r="C12" s="83"/>
      <c r="D12" s="83"/>
      <c r="E12" s="83"/>
      <c r="F12" s="83"/>
      <c r="G12" s="83"/>
      <c r="K12" s="131" t="s">
        <v>782</v>
      </c>
      <c r="L12" s="132">
        <f ca="1">ROUND(SUMIF(INDIRECT("'"&amp;L$2&amp;"'!$A$1:$A$500"),$K$11,INDIRECT("'"&amp;L$2&amp;"'!$C$1:$C$500"))-L11,2)</f>
        <v>0</v>
      </c>
      <c r="M12" s="132">
        <f t="shared" ref="M12:O12" ca="1" si="7">ROUND(SUMIF(INDIRECT("'"&amp;M$2&amp;"'!$A$1:$A$500"),$K$11,INDIRECT("'"&amp;M$2&amp;"'!$C$1:$C$500"))-M11,2)</f>
        <v>0</v>
      </c>
      <c r="N12" s="132">
        <f t="shared" ca="1" si="7"/>
        <v>0</v>
      </c>
      <c r="O12" s="132">
        <f t="shared" ca="1" si="7"/>
        <v>0</v>
      </c>
    </row>
    <row r="13" spans="2:15" x14ac:dyDescent="0.35">
      <c r="B13" s="76" t="s">
        <v>25</v>
      </c>
      <c r="C13" s="82">
        <f t="shared" ca="1" si="2"/>
        <v>4.1423820079487354E-3</v>
      </c>
      <c r="D13" s="82">
        <f t="shared" ca="1" si="3"/>
        <v>3.6067325674592572E-3</v>
      </c>
      <c r="E13" s="82">
        <f t="shared" ca="1" si="3"/>
        <v>5.4303447433917363E-3</v>
      </c>
      <c r="F13" s="82">
        <f t="shared" ca="1" si="3"/>
        <v>7.5324507209439499E-3</v>
      </c>
      <c r="G13" s="82">
        <f t="shared" ref="G13:G18" ca="1" si="8">IFERROR(O13/O$18,0)</f>
        <v>0</v>
      </c>
      <c r="K13" s="76" t="s">
        <v>25</v>
      </c>
      <c r="L13" s="70">
        <f ca="1">SUMIF(INDIRECT("'"&amp;L$2&amp;"'!$A$1:$A$500"),$K13,INDIRECT("'"&amp;L$2&amp;"'!$C$1:$C$500"))</f>
        <v>108</v>
      </c>
      <c r="M13" s="70">
        <f t="shared" ref="M13:O15" ca="1" si="9">SUMIF(INDIRECT("'"&amp;M$2&amp;"'!$A$1:$A$500"),$K13,INDIRECT("'"&amp;M$2&amp;"'!$C$1:$C$500"))</f>
        <v>47.15</v>
      </c>
      <c r="N13" s="70">
        <f t="shared" ca="1" si="9"/>
        <v>61.68</v>
      </c>
      <c r="O13" s="70">
        <f t="shared" ca="1" si="9"/>
        <v>0</v>
      </c>
    </row>
    <row r="14" spans="2:15" x14ac:dyDescent="0.35">
      <c r="B14" s="76" t="s">
        <v>27</v>
      </c>
      <c r="C14" s="82">
        <f t="shared" ca="1" si="2"/>
        <v>7.0967518078641836E-2</v>
      </c>
      <c r="D14" s="82">
        <f t="shared" ca="1" si="3"/>
        <v>2.7484637990916376E-2</v>
      </c>
      <c r="E14" s="82">
        <f t="shared" ca="1" si="3"/>
        <v>5.5570335921240992E-3</v>
      </c>
      <c r="F14" s="82">
        <f t="shared" ca="1" si="3"/>
        <v>0.21858028935455151</v>
      </c>
      <c r="G14" s="82">
        <f t="shared" ca="1" si="8"/>
        <v>3.2248111376975357E-2</v>
      </c>
      <c r="K14" s="76" t="s">
        <v>27</v>
      </c>
      <c r="L14" s="70">
        <f ca="1">SUMIF(INDIRECT("'"&amp;L$2&amp;"'!$A$1:$A$500"),$K14,INDIRECT("'"&amp;L$2&amp;"'!$C$1:$C$500"))</f>
        <v>823</v>
      </c>
      <c r="M14" s="70">
        <f t="shared" ca="1" si="9"/>
        <v>48.25</v>
      </c>
      <c r="N14" s="70">
        <f t="shared" ca="1" si="9"/>
        <v>1789.86</v>
      </c>
      <c r="O14" s="70">
        <f t="shared" ca="1" si="9"/>
        <v>524.66999999999996</v>
      </c>
    </row>
    <row r="15" spans="2:15" x14ac:dyDescent="0.35">
      <c r="B15" s="76" t="s">
        <v>29</v>
      </c>
      <c r="C15" s="82">
        <f t="shared" ca="1" si="2"/>
        <v>0.37396698089670333</v>
      </c>
      <c r="D15" s="82">
        <f t="shared" ca="1" si="3"/>
        <v>0.72061180870959118</v>
      </c>
      <c r="E15" s="82">
        <f t="shared" ca="1" si="3"/>
        <v>3.1338214309159951E-2</v>
      </c>
      <c r="F15" s="82">
        <f t="shared" ca="1" si="3"/>
        <v>7.6570145947338795E-3</v>
      </c>
      <c r="G15" s="82">
        <f t="shared" ca="1" si="8"/>
        <v>0.73626088597332839</v>
      </c>
      <c r="K15" s="76" t="s">
        <v>29</v>
      </c>
      <c r="L15" s="70">
        <f ca="1">SUMIF(INDIRECT("'"&amp;L$2&amp;"'!$A$1:$A$500"),$K15,INDIRECT("'"&amp;L$2&amp;"'!$C$1:$C$500"))</f>
        <v>21578</v>
      </c>
      <c r="M15" s="70">
        <f t="shared" ca="1" si="9"/>
        <v>272.10000000000002</v>
      </c>
      <c r="N15" s="70">
        <f t="shared" ca="1" si="9"/>
        <v>62.7</v>
      </c>
      <c r="O15" s="70">
        <f t="shared" ca="1" si="9"/>
        <v>11978.81</v>
      </c>
    </row>
    <row r="16" spans="2:15" x14ac:dyDescent="0.35">
      <c r="B16" s="76" t="s">
        <v>31</v>
      </c>
      <c r="C16" s="82">
        <f t="shared" ca="1" si="2"/>
        <v>5.5985268626676306E-2</v>
      </c>
      <c r="D16" s="82">
        <f t="shared" ca="1" si="3"/>
        <v>3.9607266898209995E-2</v>
      </c>
      <c r="E16" s="82">
        <f t="shared" ca="1" si="3"/>
        <v>0.1630934652740107</v>
      </c>
      <c r="F16" s="82">
        <f t="shared" ca="1" si="3"/>
        <v>4.9752276649036413E-3</v>
      </c>
      <c r="G16" s="82">
        <f t="shared" ca="1" si="8"/>
        <v>1.6265114669580923E-2</v>
      </c>
      <c r="K16" s="76" t="s">
        <v>31</v>
      </c>
      <c r="L16" s="78">
        <f ca="1">SUMIF(INDIRECT("'"&amp;L$2&amp;"'!$A$1:$A$500"),$K17,INDIRECT("'"&amp;L$2&amp;"'!$C$1:$C$500"))-SUM(L12:L15)</f>
        <v>1186</v>
      </c>
      <c r="M16" s="78">
        <f t="shared" ref="M16:O16" ca="1" si="10">SUMIF(INDIRECT("'"&amp;M$2&amp;"'!$A$1:$A$500"),$K17,INDIRECT("'"&amp;M$2&amp;"'!$C$1:$C$500"))-SUM(M12:M15)</f>
        <v>1416.09</v>
      </c>
      <c r="N16" s="78">
        <f t="shared" ca="1" si="10"/>
        <v>40.740000000000009</v>
      </c>
      <c r="O16" s="78">
        <f t="shared" ca="1" si="10"/>
        <v>264.63000000000102</v>
      </c>
    </row>
    <row r="17" spans="2:15" x14ac:dyDescent="0.35">
      <c r="B17" s="77" t="s">
        <v>33</v>
      </c>
      <c r="C17" s="81">
        <f t="shared" ca="1" si="2"/>
        <v>0.50506214960997031</v>
      </c>
      <c r="D17" s="81">
        <f t="shared" ca="1" si="3"/>
        <v>0.79131044616617685</v>
      </c>
      <c r="E17" s="81">
        <f t="shared" ca="1" si="3"/>
        <v>0.20541905791868648</v>
      </c>
      <c r="F17" s="81">
        <f t="shared" ca="1" si="3"/>
        <v>0.238744982335133</v>
      </c>
      <c r="G17" s="81">
        <f t="shared" ca="1" si="8"/>
        <v>0.78477411201988467</v>
      </c>
      <c r="K17" s="77" t="s">
        <v>33</v>
      </c>
      <c r="L17" s="73">
        <f ca="1">SUM(L13:L16)</f>
        <v>23695</v>
      </c>
      <c r="M17" s="73">
        <f t="shared" ref="M17:O17" ca="1" si="11">SUM(M13:M16)</f>
        <v>1783.59</v>
      </c>
      <c r="N17" s="73">
        <f t="shared" ca="1" si="11"/>
        <v>1954.98</v>
      </c>
      <c r="O17" s="73">
        <f t="shared" ca="1" si="11"/>
        <v>12768.11</v>
      </c>
    </row>
    <row r="18" spans="2:15" x14ac:dyDescent="0.35">
      <c r="B18" s="77" t="s">
        <v>35</v>
      </c>
      <c r="C18" s="81">
        <f t="shared" ca="1" si="2"/>
        <v>1</v>
      </c>
      <c r="D18" s="81">
        <f t="shared" ca="1" si="3"/>
        <v>1</v>
      </c>
      <c r="E18" s="81">
        <f t="shared" ca="1" si="3"/>
        <v>1</v>
      </c>
      <c r="F18" s="81">
        <f t="shared" ca="1" si="3"/>
        <v>1</v>
      </c>
      <c r="G18" s="81">
        <f t="shared" ca="1" si="8"/>
        <v>1</v>
      </c>
      <c r="K18" s="77" t="s">
        <v>35</v>
      </c>
      <c r="L18" s="73">
        <f ca="1">L17+L11</f>
        <v>29944</v>
      </c>
      <c r="M18" s="73">
        <f t="shared" ref="M18:O18" ca="1" si="12">M17+M11</f>
        <v>8682.69</v>
      </c>
      <c r="N18" s="73">
        <f t="shared" ca="1" si="12"/>
        <v>8188.57</v>
      </c>
      <c r="O18" s="73">
        <f t="shared" ca="1" si="12"/>
        <v>16269.79</v>
      </c>
    </row>
    <row r="19" spans="2:15" x14ac:dyDescent="0.35">
      <c r="B19" s="75"/>
      <c r="C19" s="83"/>
      <c r="D19" s="83"/>
      <c r="E19" s="83"/>
      <c r="F19" s="83"/>
      <c r="G19" s="83"/>
      <c r="K19" s="131" t="s">
        <v>783</v>
      </c>
      <c r="L19" s="132">
        <f ca="1">ROUND(SUMIF(INDIRECT("'"&amp;L$2&amp;"'!$A$1:$A$500"),$K$18,INDIRECT("'"&amp;L$2&amp;"'!$C$1:$C$500"))-L18,2)</f>
        <v>0</v>
      </c>
      <c r="M19" s="132">
        <f t="shared" ref="M19:O19" ca="1" si="13">ROUND(SUMIF(INDIRECT("'"&amp;M$2&amp;"'!$A$1:$A$500"),$K$18,INDIRECT("'"&amp;M$2&amp;"'!$C$1:$C$500"))-M18,2)</f>
        <v>0.01</v>
      </c>
      <c r="N19" s="132">
        <f t="shared" ca="1" si="13"/>
        <v>0</v>
      </c>
      <c r="O19" s="132">
        <f t="shared" ca="1" si="13"/>
        <v>-0.01</v>
      </c>
    </row>
    <row r="20" spans="2:15" x14ac:dyDescent="0.35">
      <c r="B20" s="76" t="s">
        <v>37</v>
      </c>
      <c r="C20" s="82">
        <f t="shared" ca="1" si="2"/>
        <v>4.0048569233095743E-2</v>
      </c>
      <c r="D20" s="82">
        <f t="shared" ca="1" si="3"/>
        <v>2.6048624098316858E-2</v>
      </c>
      <c r="E20" s="82">
        <f t="shared" ca="1" si="3"/>
        <v>6.3836207442624346E-2</v>
      </c>
      <c r="F20" s="82">
        <f t="shared" ca="1" si="3"/>
        <v>5.8501056961105545E-2</v>
      </c>
      <c r="G20" s="82">
        <f ca="1">IFERROR(O20/O$18,0)</f>
        <v>1.1808388430336225E-2</v>
      </c>
      <c r="K20" s="76" t="s">
        <v>37</v>
      </c>
      <c r="L20" s="70">
        <f ca="1">SUMIF(INDIRECT("'"&amp;L$2&amp;"'!$A$1:$A$500"),$K20,INDIRECT("'"&amp;L$2&amp;"'!$C$1:$C$500"))</f>
        <v>780</v>
      </c>
      <c r="M20" s="70">
        <f t="shared" ref="M20:O21" ca="1" si="14">SUMIF(INDIRECT("'"&amp;M$2&amp;"'!$A$1:$A$500"),$K20,INDIRECT("'"&amp;M$2&amp;"'!$C$1:$C$500"))</f>
        <v>554.27</v>
      </c>
      <c r="N20" s="70">
        <f t="shared" ca="1" si="14"/>
        <v>479.04</v>
      </c>
      <c r="O20" s="70">
        <f t="shared" ca="1" si="14"/>
        <v>192.12</v>
      </c>
    </row>
    <row r="21" spans="2:15" x14ac:dyDescent="0.35">
      <c r="B21" s="76" t="s">
        <v>39</v>
      </c>
      <c r="C21" s="82">
        <f t="shared" ca="1" si="2"/>
        <v>2.7344936685773837E-2</v>
      </c>
      <c r="D21" s="82">
        <f t="shared" ca="1" si="3"/>
        <v>6.1648410366016565E-2</v>
      </c>
      <c r="E21" s="82">
        <f t="shared" ca="1" si="3"/>
        <v>1.2473093016104457E-3</v>
      </c>
      <c r="F21" s="82">
        <f t="shared" ca="1" si="3"/>
        <v>1.3923065932146884E-2</v>
      </c>
      <c r="G21" s="82">
        <f ca="1">IFERROR(O21/O$18,0)</f>
        <v>3.2560961143321451E-2</v>
      </c>
      <c r="K21" s="76" t="s">
        <v>39</v>
      </c>
      <c r="L21" s="70">
        <f ca="1">SUMIF(INDIRECT("'"&amp;L$2&amp;"'!$A$1:$A$500"),$K21,INDIRECT("'"&amp;L$2&amp;"'!$C$1:$C$500"))</f>
        <v>1846</v>
      </c>
      <c r="M21" s="70">
        <f t="shared" ca="1" si="14"/>
        <v>10.83</v>
      </c>
      <c r="N21" s="70">
        <f t="shared" ca="1" si="14"/>
        <v>114.01</v>
      </c>
      <c r="O21" s="70">
        <f t="shared" ca="1" si="14"/>
        <v>529.76</v>
      </c>
    </row>
    <row r="22" spans="2:15" x14ac:dyDescent="0.35">
      <c r="B22" s="76" t="s">
        <v>41</v>
      </c>
      <c r="C22" s="82">
        <f t="shared" ca="1" si="2"/>
        <v>0.14517892689995515</v>
      </c>
      <c r="D22" s="82">
        <f t="shared" ca="1" si="3"/>
        <v>0.19075607801228961</v>
      </c>
      <c r="E22" s="82">
        <f t="shared" ca="1" si="3"/>
        <v>8.6964984353927174E-2</v>
      </c>
      <c r="F22" s="82">
        <f t="shared" ca="1" si="3"/>
        <v>0.15091523916874372</v>
      </c>
      <c r="G22" s="82">
        <f ca="1">IFERROR(O22/O$18,0)</f>
        <v>0.15207940606486006</v>
      </c>
      <c r="K22" s="76" t="s">
        <v>41</v>
      </c>
      <c r="L22" s="78">
        <f ca="1">SUMIF(INDIRECT("'"&amp;L$2&amp;"'!$A$1:$A$500"),$K23,INDIRECT("'"&amp;L$2&amp;"'!$C$1:$C$500"))-SUM(L20:L21)</f>
        <v>5712</v>
      </c>
      <c r="M22" s="78">
        <f t="shared" ref="M22:O22" ca="1" si="15">SUMIF(INDIRECT("'"&amp;M$2&amp;"'!$A$1:$A$500"),$K23,INDIRECT("'"&amp;M$2&amp;"'!$C$1:$C$500"))-SUM(M20:M21)</f>
        <v>755.09</v>
      </c>
      <c r="N22" s="78">
        <f t="shared" ca="1" si="15"/>
        <v>1235.7799999999997</v>
      </c>
      <c r="O22" s="78">
        <f t="shared" ca="1" si="15"/>
        <v>2474.2999999999997</v>
      </c>
    </row>
    <row r="23" spans="2:15" x14ac:dyDescent="0.35">
      <c r="B23" s="77" t="s">
        <v>43</v>
      </c>
      <c r="C23" s="81">
        <f t="shared" ca="1" si="2"/>
        <v>0.21257243281882471</v>
      </c>
      <c r="D23" s="81">
        <f t="shared" ca="1" si="3"/>
        <v>0.27845311247662302</v>
      </c>
      <c r="E23" s="81">
        <f t="shared" ca="1" si="3"/>
        <v>0.15204850109816198</v>
      </c>
      <c r="F23" s="81">
        <f t="shared" ca="1" si="3"/>
        <v>0.22333936206199617</v>
      </c>
      <c r="G23" s="81">
        <f ca="1">IFERROR(O23/O$18,0)</f>
        <v>0.19644875563851774</v>
      </c>
      <c r="K23" s="77" t="s">
        <v>43</v>
      </c>
      <c r="L23" s="73">
        <f ca="1">SUM(L20:L22)</f>
        <v>8338</v>
      </c>
      <c r="M23" s="73">
        <f t="shared" ref="M23:O23" ca="1" si="16">SUM(M20:M22)</f>
        <v>1320.19</v>
      </c>
      <c r="N23" s="73">
        <f t="shared" ca="1" si="16"/>
        <v>1828.83</v>
      </c>
      <c r="O23" s="73">
        <f t="shared" ca="1" si="16"/>
        <v>3196.18</v>
      </c>
    </row>
    <row r="24" spans="2:15" x14ac:dyDescent="0.35">
      <c r="B24" s="75"/>
      <c r="C24" s="83"/>
      <c r="D24" s="83"/>
      <c r="E24" s="83"/>
      <c r="F24" s="83"/>
      <c r="G24" s="83"/>
      <c r="K24" s="131" t="s">
        <v>784</v>
      </c>
      <c r="L24" s="132">
        <f ca="1">ROUND(SUMIF(INDIRECT("'"&amp;L$2&amp;"'!$A$1:$A$500"),$K$23,INDIRECT("'"&amp;L$2&amp;"'!$C$1:$C$500"))-L23,2)</f>
        <v>0</v>
      </c>
      <c r="M24" s="132">
        <f t="shared" ref="M24:O24" ca="1" si="17">ROUND(SUMIF(INDIRECT("'"&amp;M$2&amp;"'!$A$1:$A$500"),$K$23,INDIRECT("'"&amp;M$2&amp;"'!$C$1:$C$500"))-M23,2)</f>
        <v>0</v>
      </c>
      <c r="N24" s="132">
        <f t="shared" ca="1" si="17"/>
        <v>0</v>
      </c>
      <c r="O24" s="132">
        <f t="shared" ca="1" si="17"/>
        <v>0</v>
      </c>
    </row>
    <row r="25" spans="2:15" x14ac:dyDescent="0.35">
      <c r="B25" s="76" t="s">
        <v>45</v>
      </c>
      <c r="C25" s="82">
        <f t="shared" ca="1" si="2"/>
        <v>0.21819869166554465</v>
      </c>
      <c r="D25" s="82">
        <f t="shared" ca="1" si="3"/>
        <v>0.47074539139727489</v>
      </c>
      <c r="E25" s="82">
        <f t="shared" ca="1" si="3"/>
        <v>4.184187158587949E-3</v>
      </c>
      <c r="F25" s="82">
        <f t="shared" ca="1" si="3"/>
        <v>0.22130359757564511</v>
      </c>
      <c r="G25" s="82">
        <f ca="1">IFERROR(O25/O$18,0)</f>
        <v>0.17656159053067064</v>
      </c>
      <c r="K25" s="76" t="s">
        <v>45</v>
      </c>
      <c r="L25" s="70">
        <f ca="1">SUMIF(INDIRECT("'"&amp;L$2&amp;"'!$A$1:$A$500"),$K25,INDIRECT("'"&amp;L$2&amp;"'!$C$1:$C$500"))</f>
        <v>14096</v>
      </c>
      <c r="M25" s="70">
        <f t="shared" ref="M25:O25" ca="1" si="18">SUMIF(INDIRECT("'"&amp;M$2&amp;"'!$A$1:$A$500"),$K25,INDIRECT("'"&amp;M$2&amp;"'!$C$1:$C$500"))</f>
        <v>36.33</v>
      </c>
      <c r="N25" s="70">
        <f t="shared" ca="1" si="18"/>
        <v>1812.16</v>
      </c>
      <c r="O25" s="70">
        <f t="shared" ca="1" si="18"/>
        <v>2872.62</v>
      </c>
    </row>
    <row r="26" spans="2:15" x14ac:dyDescent="0.35">
      <c r="B26" s="76" t="s">
        <v>47</v>
      </c>
      <c r="C26" s="82">
        <f t="shared" ca="1" si="2"/>
        <v>2.7724485041706402E-2</v>
      </c>
      <c r="D26" s="82">
        <f t="shared" ca="1" si="3"/>
        <v>2.9388191290408764E-2</v>
      </c>
      <c r="E26" s="82">
        <f t="shared" ca="1" si="3"/>
        <v>3.5588049325727431E-4</v>
      </c>
      <c r="F26" s="82">
        <f t="shared" ca="1" si="3"/>
        <v>1.9223136640463458E-2</v>
      </c>
      <c r="G26" s="82">
        <f ca="1">IFERROR(O26/O$18,0)</f>
        <v>6.1930731742696116E-2</v>
      </c>
      <c r="K26" s="76" t="s">
        <v>47</v>
      </c>
      <c r="L26" s="78">
        <f ca="1">SUMIF(INDIRECT("'"&amp;L$2&amp;"'!$A$1:$A$500"),$K27,INDIRECT("'"&amp;L$2&amp;"'!$C$1:$C$500"))-L25</f>
        <v>880</v>
      </c>
      <c r="M26" s="78">
        <f t="shared" ref="M26:O26" ca="1" si="19">SUMIF(INDIRECT("'"&amp;M$2&amp;"'!$A$1:$A$500"),$K27,INDIRECT("'"&amp;M$2&amp;"'!$C$1:$C$500"))-M25</f>
        <v>3.0900000000000034</v>
      </c>
      <c r="N26" s="78">
        <f t="shared" ca="1" si="19"/>
        <v>157.40999999999985</v>
      </c>
      <c r="O26" s="78">
        <f t="shared" ca="1" si="19"/>
        <v>1007.5999999999999</v>
      </c>
    </row>
    <row r="27" spans="2:15" x14ac:dyDescent="0.35">
      <c r="B27" s="77" t="s">
        <v>49</v>
      </c>
      <c r="C27" s="81">
        <f t="shared" ca="1" si="2"/>
        <v>0.24592317670725106</v>
      </c>
      <c r="D27" s="81">
        <f t="shared" ca="1" si="3"/>
        <v>0.50013358268768371</v>
      </c>
      <c r="E27" s="81">
        <f t="shared" ca="1" si="3"/>
        <v>4.5400676518452228E-3</v>
      </c>
      <c r="F27" s="81">
        <f t="shared" ca="1" si="3"/>
        <v>0.24052673421610854</v>
      </c>
      <c r="G27" s="81">
        <f ca="1">IFERROR(O27/O$18,0)</f>
        <v>0.23849232227336675</v>
      </c>
      <c r="K27" s="77" t="s">
        <v>49</v>
      </c>
      <c r="L27" s="73">
        <f ca="1">SUM(L25:L26)</f>
        <v>14976</v>
      </c>
      <c r="M27" s="73">
        <f t="shared" ref="M27:O27" ca="1" si="20">SUM(M25:M26)</f>
        <v>39.42</v>
      </c>
      <c r="N27" s="73">
        <f t="shared" ca="1" si="20"/>
        <v>1969.57</v>
      </c>
      <c r="O27" s="73">
        <f t="shared" ca="1" si="20"/>
        <v>3880.22</v>
      </c>
    </row>
    <row r="28" spans="2:15" x14ac:dyDescent="0.35">
      <c r="B28" s="77" t="s">
        <v>51</v>
      </c>
      <c r="C28" s="81">
        <f t="shared" ca="1" si="2"/>
        <v>0.45849560952607576</v>
      </c>
      <c r="D28" s="81">
        <f t="shared" ca="1" si="3"/>
        <v>0.77858669516430667</v>
      </c>
      <c r="E28" s="81">
        <f t="shared" ca="1" si="3"/>
        <v>0.15658856875000721</v>
      </c>
      <c r="F28" s="81">
        <f t="shared" ca="1" si="3"/>
        <v>0.46386609627810471</v>
      </c>
      <c r="G28" s="81">
        <f ca="1">IFERROR(O28/O$18,0)</f>
        <v>0.43494107791188452</v>
      </c>
      <c r="K28" s="77" t="s">
        <v>51</v>
      </c>
      <c r="L28" s="73">
        <f ca="1">SUM(L27,L23)</f>
        <v>23314</v>
      </c>
      <c r="M28" s="73">
        <f t="shared" ref="M28:O28" ca="1" si="21">SUM(M27,M23)</f>
        <v>1359.6100000000001</v>
      </c>
      <c r="N28" s="73">
        <f t="shared" ca="1" si="21"/>
        <v>3798.3999999999996</v>
      </c>
      <c r="O28" s="73">
        <f t="shared" ca="1" si="21"/>
        <v>7076.4</v>
      </c>
    </row>
    <row r="29" spans="2:15" x14ac:dyDescent="0.35">
      <c r="B29" s="75"/>
      <c r="C29" s="83"/>
      <c r="D29" s="83"/>
      <c r="E29" s="83"/>
      <c r="F29" s="83"/>
      <c r="G29" s="83"/>
      <c r="K29" s="131" t="s">
        <v>785</v>
      </c>
      <c r="L29" s="132">
        <f ca="1">ROUND(SUMIF(INDIRECT("'"&amp;L$2&amp;"'!$A$1:$A$500"),$K$28,INDIRECT("'"&amp;L$2&amp;"'!$C$1:$C$500"))-L28,2)</f>
        <v>0</v>
      </c>
      <c r="M29" s="132">
        <f t="shared" ref="M29:O29" ca="1" si="22">ROUND(SUMIF(INDIRECT("'"&amp;M$2&amp;"'!$A$1:$A$500"),$K$28,INDIRECT("'"&amp;M$2&amp;"'!$C$1:$C$500"))-M28,2)</f>
        <v>0</v>
      </c>
      <c r="N29" s="132">
        <f t="shared" ca="1" si="22"/>
        <v>0</v>
      </c>
      <c r="O29" s="132">
        <f t="shared" ca="1" si="22"/>
        <v>0</v>
      </c>
    </row>
    <row r="30" spans="2:15" x14ac:dyDescent="0.35">
      <c r="B30" s="76" t="s">
        <v>53</v>
      </c>
      <c r="C30" s="82">
        <f t="shared" ca="1" si="2"/>
        <v>0.54044421216061589</v>
      </c>
      <c r="D30" s="82">
        <f t="shared" ca="1" si="3"/>
        <v>0.21717205450173657</v>
      </c>
      <c r="E30" s="82">
        <f t="shared" ca="1" si="3"/>
        <v>0.84341258296679944</v>
      </c>
      <c r="F30" s="82">
        <f t="shared" ca="1" si="3"/>
        <v>0.53613390372189529</v>
      </c>
      <c r="G30" s="82">
        <f ca="1">IFERROR(O30/O$18,0)</f>
        <v>0.56505830745203223</v>
      </c>
      <c r="K30" s="76" t="s">
        <v>53</v>
      </c>
      <c r="L30" s="70">
        <f ca="1">SUMIF(INDIRECT("'"&amp;L$2&amp;"'!$A$1:$A$500"),$K30,INDIRECT("'"&amp;L$2&amp;"'!$C$1:$C$500"))</f>
        <v>6503</v>
      </c>
      <c r="M30" s="70">
        <f t="shared" ref="M30:O30" ca="1" si="23">SUMIF(INDIRECT("'"&amp;M$2&amp;"'!$A$1:$A$500"),$K30,INDIRECT("'"&amp;M$2&amp;"'!$C$1:$C$500"))</f>
        <v>7323.09</v>
      </c>
      <c r="N30" s="70">
        <f t="shared" ca="1" si="23"/>
        <v>4390.17</v>
      </c>
      <c r="O30" s="70">
        <f t="shared" ca="1" si="23"/>
        <v>9193.3799999999992</v>
      </c>
    </row>
    <row r="31" spans="2:15" x14ac:dyDescent="0.35">
      <c r="B31" s="76" t="s">
        <v>55</v>
      </c>
      <c r="C31" s="82">
        <f t="shared" ca="1" si="2"/>
        <v>1.0603125834891798E-3</v>
      </c>
      <c r="D31" s="82">
        <f t="shared" ca="1" si="3"/>
        <v>4.2412503339567193E-3</v>
      </c>
      <c r="E31" s="82">
        <f t="shared" ca="1" si="3"/>
        <v>0</v>
      </c>
      <c r="F31" s="82">
        <f t="shared" ca="1" si="3"/>
        <v>0</v>
      </c>
      <c r="G31" s="82">
        <f ca="1">IFERROR(O31/O$18,0)</f>
        <v>0</v>
      </c>
      <c r="K31" s="76" t="s">
        <v>55</v>
      </c>
      <c r="L31" s="78">
        <f ca="1">SUMIF(INDIRECT("'"&amp;L$2&amp;"'!$A$1:$A$500"),$K32,INDIRECT("'"&amp;L$2&amp;"'!$C$1:$C$500"))-L30</f>
        <v>127</v>
      </c>
      <c r="M31" s="78">
        <f t="shared" ref="M31:O31" ca="1" si="24">SUMIF(INDIRECT("'"&amp;M$2&amp;"'!$A$1:$A$500"),$K32,INDIRECT("'"&amp;M$2&amp;"'!$C$1:$C$500"))-M30</f>
        <v>0</v>
      </c>
      <c r="N31" s="78">
        <f t="shared" ca="1" si="24"/>
        <v>0</v>
      </c>
      <c r="O31" s="78">
        <f t="shared" ca="1" si="24"/>
        <v>0</v>
      </c>
    </row>
    <row r="32" spans="2:15" ht="29" x14ac:dyDescent="0.35">
      <c r="B32" s="77" t="s">
        <v>57</v>
      </c>
      <c r="C32" s="81">
        <f t="shared" ca="1" si="2"/>
        <v>0.54150452474410504</v>
      </c>
      <c r="D32" s="81">
        <f t="shared" ca="1" si="3"/>
        <v>0.2214133048356933</v>
      </c>
      <c r="E32" s="81">
        <f t="shared" ca="1" si="3"/>
        <v>0.84341258296679944</v>
      </c>
      <c r="F32" s="81">
        <f t="shared" ca="1" si="3"/>
        <v>0.53613390372189529</v>
      </c>
      <c r="G32" s="81">
        <f ca="1">IFERROR(O32/O$18,0)</f>
        <v>0.56505830745203223</v>
      </c>
      <c r="K32" s="77" t="s">
        <v>57</v>
      </c>
      <c r="L32" s="73">
        <f ca="1">SUM(L30:L31)</f>
        <v>6630</v>
      </c>
      <c r="M32" s="73">
        <f t="shared" ref="M32:O32" ca="1" si="25">SUM(M30:M31)</f>
        <v>7323.09</v>
      </c>
      <c r="N32" s="73">
        <f t="shared" ca="1" si="25"/>
        <v>4390.17</v>
      </c>
      <c r="O32" s="73">
        <f t="shared" ca="1" si="25"/>
        <v>9193.3799999999992</v>
      </c>
    </row>
    <row r="33" spans="2:15" x14ac:dyDescent="0.35">
      <c r="B33" s="77" t="s">
        <v>60</v>
      </c>
      <c r="C33" s="81">
        <f t="shared" ca="1" si="2"/>
        <v>1.0000001342701808</v>
      </c>
      <c r="D33" s="81">
        <f t="shared" ca="1" si="3"/>
        <v>1</v>
      </c>
      <c r="E33" s="81">
        <f t="shared" ca="1" si="3"/>
        <v>1.0000011517168066</v>
      </c>
      <c r="F33" s="81">
        <f t="shared" ca="1" si="3"/>
        <v>1</v>
      </c>
      <c r="G33" s="81">
        <f ca="1">IFERROR(O33/O$18,0)</f>
        <v>0.99999938536391664</v>
      </c>
      <c r="K33" s="77" t="s">
        <v>60</v>
      </c>
      <c r="L33" s="73">
        <f ca="1">L32+L28</f>
        <v>29944</v>
      </c>
      <c r="M33" s="73">
        <f t="shared" ref="M33:O33" ca="1" si="26">M32+M28</f>
        <v>8682.7000000000007</v>
      </c>
      <c r="N33" s="73">
        <f t="shared" ca="1" si="26"/>
        <v>8188.57</v>
      </c>
      <c r="O33" s="73">
        <f t="shared" ca="1" si="26"/>
        <v>16269.779999999999</v>
      </c>
    </row>
    <row r="34" spans="2:15" x14ac:dyDescent="0.35">
      <c r="B34" s="77" t="s">
        <v>93</v>
      </c>
      <c r="C34" s="81"/>
      <c r="D34" s="81"/>
      <c r="E34" s="81"/>
      <c r="F34" s="81"/>
      <c r="G34" s="81"/>
      <c r="K34" s="131" t="s">
        <v>786</v>
      </c>
      <c r="L34" s="132">
        <f ca="1">ROUND(L18-L33,2)</f>
        <v>0</v>
      </c>
      <c r="M34" s="132">
        <f t="shared" ref="M34:O34" ca="1" si="27">ROUND(M18-M33,2)</f>
        <v>-0.01</v>
      </c>
      <c r="N34" s="132">
        <f t="shared" ca="1" si="27"/>
        <v>0</v>
      </c>
      <c r="O34" s="132">
        <f t="shared" ca="1" si="27"/>
        <v>0.01</v>
      </c>
    </row>
    <row r="35" spans="2:15" x14ac:dyDescent="0.35">
      <c r="B35" s="76"/>
      <c r="C35" s="84"/>
      <c r="D35" s="84"/>
      <c r="E35" s="84"/>
      <c r="F35" s="84"/>
      <c r="G35" s="84"/>
      <c r="K35" s="76"/>
      <c r="L35" s="71"/>
      <c r="M35" s="71"/>
      <c r="N35" s="71"/>
      <c r="O35" s="71"/>
    </row>
    <row r="36" spans="2:15" x14ac:dyDescent="0.35">
      <c r="B36" s="74" t="s">
        <v>62</v>
      </c>
      <c r="C36" s="85"/>
      <c r="D36" s="85"/>
      <c r="E36" s="85"/>
      <c r="F36" s="85"/>
      <c r="G36" s="85"/>
      <c r="K36" s="74" t="s">
        <v>62</v>
      </c>
      <c r="L36" s="87">
        <v>2025</v>
      </c>
      <c r="M36" s="87">
        <v>2025</v>
      </c>
      <c r="N36" s="87">
        <v>2025</v>
      </c>
      <c r="O36" s="87">
        <v>2025</v>
      </c>
    </row>
    <row r="37" spans="2:15" x14ac:dyDescent="0.35">
      <c r="B37" s="77" t="s">
        <v>64</v>
      </c>
      <c r="C37" s="81">
        <f ca="1">IFERROR(AVERAGE(D37:G37),0)</f>
        <v>1</v>
      </c>
      <c r="D37" s="81">
        <f ca="1">IFERROR(L37/L$37,0)</f>
        <v>1</v>
      </c>
      <c r="E37" s="81">
        <f ca="1">IFERROR(M37/M$37,0)</f>
        <v>1</v>
      </c>
      <c r="F37" s="81">
        <f ca="1">IFERROR(N37/N$37,0)</f>
        <v>1</v>
      </c>
      <c r="G37" s="81">
        <f ca="1">IFERROR(O37/O$37,0)</f>
        <v>1</v>
      </c>
      <c r="K37" s="77" t="s">
        <v>64</v>
      </c>
      <c r="L37" s="72">
        <f ca="1">SUMIF(INDIRECT("'"&amp;L$2&amp;"'!$A$1:$A$500"),$K37,INDIRECT("'"&amp;L$2&amp;"'!$C$1:$C$500"))</f>
        <v>16310</v>
      </c>
      <c r="M37" s="72">
        <f t="shared" ref="M37:O38" ca="1" si="28">SUMIF(INDIRECT("'"&amp;M$2&amp;"'!$A$1:$A$500"),$K37,INDIRECT("'"&amp;M$2&amp;"'!$C$1:$C$500"))</f>
        <v>4151.32</v>
      </c>
      <c r="N37" s="72">
        <f t="shared" ca="1" si="28"/>
        <v>5343.03</v>
      </c>
      <c r="O37" s="72">
        <f t="shared" ca="1" si="28"/>
        <v>8251.34</v>
      </c>
    </row>
    <row r="38" spans="2:15" x14ac:dyDescent="0.35">
      <c r="B38" s="76" t="s">
        <v>66</v>
      </c>
      <c r="C38" s="82">
        <f t="shared" ref="C38:C52" ca="1" si="29">IFERROR(AVERAGE(D38:G38),0)</f>
        <v>0.43841281992523551</v>
      </c>
      <c r="D38" s="82">
        <f t="shared" ref="D38:D52" ca="1" si="30">IFERROR(L38/L$37,0)</f>
        <v>0.73721643163703254</v>
      </c>
      <c r="E38" s="82">
        <f ca="1">IFERROR(M38/M$37,0)</f>
        <v>0.10856065058824664</v>
      </c>
      <c r="F38" s="82">
        <f t="shared" ref="E38:F52" ca="1" si="31">IFERROR(N38/N$37,0)</f>
        <v>0.1251237593650045</v>
      </c>
      <c r="G38" s="82">
        <f t="shared" ref="G38:G52" ca="1" si="32">IFERROR(O38/O$37,0)</f>
        <v>0.78275043811065836</v>
      </c>
      <c r="K38" s="76" t="s">
        <v>281</v>
      </c>
      <c r="L38" s="70">
        <f ca="1">SUMIF(INDIRECT("'"&amp;L$2&amp;"'!$A$1:$A$500"),$K38,INDIRECT("'"&amp;L$2&amp;"'!$C$1:$C$500"))</f>
        <v>12024</v>
      </c>
      <c r="M38" s="70">
        <f t="shared" ca="1" si="28"/>
        <v>450.67</v>
      </c>
      <c r="N38" s="70">
        <f t="shared" ca="1" si="28"/>
        <v>668.54</v>
      </c>
      <c r="O38" s="70">
        <f t="shared" ca="1" si="28"/>
        <v>6458.74</v>
      </c>
    </row>
    <row r="39" spans="2:15" x14ac:dyDescent="0.35">
      <c r="B39" s="77" t="s">
        <v>68</v>
      </c>
      <c r="C39" s="81">
        <f t="shared" ca="1" si="29"/>
        <v>0.56158718007476438</v>
      </c>
      <c r="D39" s="81">
        <f t="shared" ca="1" si="30"/>
        <v>0.26278356836296751</v>
      </c>
      <c r="E39" s="81">
        <f ca="1">IFERROR(M39/M$37,0)</f>
        <v>0.89143934941175329</v>
      </c>
      <c r="F39" s="81">
        <f t="shared" ca="1" si="31"/>
        <v>0.87487624063499547</v>
      </c>
      <c r="G39" s="81">
        <f t="shared" ca="1" si="32"/>
        <v>0.21724956188934166</v>
      </c>
      <c r="K39" s="77" t="s">
        <v>68</v>
      </c>
      <c r="L39" s="73">
        <f ca="1">L37-L38</f>
        <v>4286</v>
      </c>
      <c r="M39" s="73">
        <f t="shared" ref="M39:O39" ca="1" si="33">M37-M38</f>
        <v>3700.6499999999996</v>
      </c>
      <c r="N39" s="73">
        <f t="shared" ca="1" si="33"/>
        <v>4674.49</v>
      </c>
      <c r="O39" s="73">
        <f t="shared" ca="1" si="33"/>
        <v>1792.6000000000004</v>
      </c>
    </row>
    <row r="40" spans="2:15" ht="29" x14ac:dyDescent="0.35">
      <c r="B40" s="76" t="s">
        <v>70</v>
      </c>
      <c r="C40" s="82">
        <f t="shared" ca="1" si="29"/>
        <v>0.23476430162642023</v>
      </c>
      <c r="D40" s="82">
        <f t="shared" ca="1" si="30"/>
        <v>0.12256284488044145</v>
      </c>
      <c r="E40" s="82">
        <f ca="1">IFERROR(M40/M$37,0)</f>
        <v>0.33237620804948786</v>
      </c>
      <c r="F40" s="82">
        <f t="shared" ca="1" si="31"/>
        <v>0.38957108606914054</v>
      </c>
      <c r="G40" s="82">
        <f t="shared" ca="1" si="32"/>
        <v>9.4547067506611043E-2</v>
      </c>
      <c r="K40" s="76" t="s">
        <v>70</v>
      </c>
      <c r="L40" s="70">
        <f ca="1">SUMIF(
INDIRECT("'"&amp;L$2&amp;"'!$A$1:$A$500"),
$K40,
INDIRECT("'"&amp;L$2&amp;"'!$C$1:$C$500")
)</f>
        <v>1999</v>
      </c>
      <c r="M40" s="70">
        <f t="shared" ref="M40:O41" ca="1" si="34">SUMIF(
INDIRECT("'"&amp;M$2&amp;"'!$A$1:$A$500"),
$K40,
INDIRECT("'"&amp;M$2&amp;"'!$C$1:$C$500")
)</f>
        <v>1379.8</v>
      </c>
      <c r="N40" s="70">
        <f t="shared" ca="1" si="34"/>
        <v>2081.4899999999998</v>
      </c>
      <c r="O40" s="70">
        <f t="shared" ca="1" si="34"/>
        <v>780.14</v>
      </c>
    </row>
    <row r="41" spans="2:15" x14ac:dyDescent="0.35">
      <c r="B41" s="76" t="s">
        <v>72</v>
      </c>
      <c r="C41" s="82">
        <f t="shared" ca="1" si="29"/>
        <v>0.1817882576340713</v>
      </c>
      <c r="D41" s="82">
        <f t="shared" ca="1" si="30"/>
        <v>0</v>
      </c>
      <c r="E41" s="82">
        <f ca="1">IFERROR(M41/M$37,0)</f>
        <v>0.32553260167850229</v>
      </c>
      <c r="F41" s="82">
        <f t="shared" ca="1" si="31"/>
        <v>0.40162042885778293</v>
      </c>
      <c r="G41" s="82">
        <f t="shared" ca="1" si="32"/>
        <v>0</v>
      </c>
      <c r="K41" s="76" t="s">
        <v>72</v>
      </c>
      <c r="L41" s="70">
        <f ca="1">SUMIF(
INDIRECT("'"&amp;L$2&amp;"'!$A$1:$A$500"),
$K41,
INDIRECT("'"&amp;L$2&amp;"'!$C$1:$C$500")
)</f>
        <v>0</v>
      </c>
      <c r="M41" s="70">
        <f t="shared" ca="1" si="34"/>
        <v>1351.39</v>
      </c>
      <c r="N41" s="70">
        <f t="shared" ca="1" si="34"/>
        <v>2145.87</v>
      </c>
      <c r="O41" s="70">
        <f t="shared" ca="1" si="34"/>
        <v>0</v>
      </c>
    </row>
    <row r="42" spans="2:15" x14ac:dyDescent="0.35">
      <c r="B42" s="76" t="s">
        <v>74</v>
      </c>
      <c r="C42" s="82">
        <f t="shared" ca="1" si="29"/>
        <v>-5.1284892516115441E-3</v>
      </c>
      <c r="D42" s="82">
        <f t="shared" ca="1" si="30"/>
        <v>0</v>
      </c>
      <c r="E42" s="82">
        <f ca="1">IFERROR(M42/M$37,0)</f>
        <v>-2.0513957006446218E-2</v>
      </c>
      <c r="F42" s="82">
        <f t="shared" ca="1" si="31"/>
        <v>0</v>
      </c>
      <c r="G42" s="82">
        <f t="shared" ca="1" si="32"/>
        <v>4.1333954626139281E-17</v>
      </c>
      <c r="K42" s="76" t="s">
        <v>82</v>
      </c>
      <c r="L42" s="78">
        <f ca="1">SUMIF(INDIRECT("'"&amp;L$2&amp;"'!$A$1:$A$500"),$K$43,INDIRECT("'"&amp;L$2&amp;"'!$C$1:$C$500"))-L38-L40-L41</f>
        <v>0</v>
      </c>
      <c r="M42" s="78">
        <f ca="1">SUMIF(INDIRECT("'"&amp;M$2&amp;"'!$A$1:$A$500"),$K$43,INDIRECT("'"&amp;M$2&amp;"'!$C$1:$C$500"))-M38-M40-M41</f>
        <v>-85.160000000000309</v>
      </c>
      <c r="N42" s="78">
        <f t="shared" ref="M42:O42" ca="1" si="35">SUMIF(INDIRECT("'"&amp;N$2&amp;"'!$A$1:$A$500"),$K$43,INDIRECT("'"&amp;N$2&amp;"'!$C$1:$C$500"))-N38-N40-N41</f>
        <v>0</v>
      </c>
      <c r="O42" s="78">
        <f t="shared" ca="1" si="35"/>
        <v>3.4106051316484809E-13</v>
      </c>
    </row>
    <row r="43" spans="2:15" x14ac:dyDescent="0.35">
      <c r="B43" s="77" t="s">
        <v>76</v>
      </c>
      <c r="C43" s="81">
        <f t="shared" ca="1" si="29"/>
        <v>0.84983688993411544</v>
      </c>
      <c r="D43" s="81">
        <f t="shared" ca="1" si="30"/>
        <v>0.85977927651747399</v>
      </c>
      <c r="E43" s="81">
        <f t="shared" ca="1" si="31"/>
        <v>0.74595550330979066</v>
      </c>
      <c r="F43" s="81">
        <f t="shared" ca="1" si="31"/>
        <v>0.91631527429192794</v>
      </c>
      <c r="G43" s="81">
        <f t="shared" ca="1" si="32"/>
        <v>0.87729750561726938</v>
      </c>
      <c r="K43" s="77" t="s">
        <v>76</v>
      </c>
      <c r="L43" s="73">
        <f ca="1">SUM(L38,L40:L42)</f>
        <v>14023</v>
      </c>
      <c r="M43" s="73">
        <f ca="1">SUM(M38,M40:M42)</f>
        <v>3096.7</v>
      </c>
      <c r="N43" s="73">
        <f ca="1">SUM(N38,N40:N42)</f>
        <v>4895.8999999999996</v>
      </c>
      <c r="O43" s="73">
        <f t="shared" ref="M43:O43" ca="1" si="36">SUM(O38,O40:O42)</f>
        <v>7238.88</v>
      </c>
    </row>
    <row r="44" spans="2:15" x14ac:dyDescent="0.35">
      <c r="B44" s="77" t="s">
        <v>78</v>
      </c>
      <c r="C44" s="81">
        <f t="shared" ca="1" si="29"/>
        <v>0.15016311006588451</v>
      </c>
      <c r="D44" s="81">
        <f t="shared" ca="1" si="30"/>
        <v>0.14022072348252607</v>
      </c>
      <c r="E44" s="81">
        <f t="shared" ca="1" si="31"/>
        <v>0.2540444966902094</v>
      </c>
      <c r="F44" s="81">
        <f t="shared" ca="1" si="31"/>
        <v>8.3684725708072033E-2</v>
      </c>
      <c r="G44" s="81">
        <f t="shared" ca="1" si="32"/>
        <v>0.12270249438273056</v>
      </c>
      <c r="K44" s="77" t="s">
        <v>78</v>
      </c>
      <c r="L44" s="73">
        <f ca="1">L37-L43</f>
        <v>2287</v>
      </c>
      <c r="M44" s="73">
        <f ca="1">M37-M43</f>
        <v>1054.6199999999999</v>
      </c>
      <c r="N44" s="73">
        <f ca="1">N37-N43</f>
        <v>447.13000000000011</v>
      </c>
      <c r="O44" s="73">
        <f t="shared" ref="M44:O44" ca="1" si="37">O37-O43</f>
        <v>1012.46</v>
      </c>
    </row>
    <row r="45" spans="2:15" x14ac:dyDescent="0.35">
      <c r="B45" s="76" t="s">
        <v>79</v>
      </c>
      <c r="C45" s="82">
        <f t="shared" ca="1" si="29"/>
        <v>3.7461328273665127E-2</v>
      </c>
      <c r="D45" s="82">
        <f t="shared" ca="1" si="30"/>
        <v>7.014101778050276E-2</v>
      </c>
      <c r="E45" s="82">
        <f t="shared" ca="1" si="31"/>
        <v>6.7689313278667994E-3</v>
      </c>
      <c r="F45" s="82">
        <f t="shared" ca="1" si="31"/>
        <v>2.6518660759905898E-2</v>
      </c>
      <c r="G45" s="82">
        <f t="shared" ca="1" si="32"/>
        <v>4.6416703226385046E-2</v>
      </c>
      <c r="K45" s="76" t="s">
        <v>79</v>
      </c>
      <c r="L45" s="70">
        <f ca="1">SUMIF(
INDIRECT("'"&amp;L$2&amp;"'!$A$1:$A$500"),
$K45,
INDIRECT("'"&amp;L$2&amp;"'!$C$1:$C$500")
)</f>
        <v>1144</v>
      </c>
      <c r="M45" s="70">
        <f t="shared" ref="M45:O45" ca="1" si="38">SUMIF(
INDIRECT("'"&amp;M$2&amp;"'!$A$1:$A$500"),
$K45,
INDIRECT("'"&amp;M$2&amp;"'!$C$1:$C$500")
)</f>
        <v>28.1</v>
      </c>
      <c r="N45" s="70">
        <f ca="1">SUMIF(
INDIRECT("'"&amp;N$2&amp;"'!$A$1:$A$500"),
$K45,
INDIRECT("'"&amp;N$2&amp;"'!$C$1:$C$500")
)</f>
        <v>141.69</v>
      </c>
      <c r="O45" s="70">
        <f t="shared" ca="1" si="38"/>
        <v>383</v>
      </c>
    </row>
    <row r="46" spans="2:15" ht="29" x14ac:dyDescent="0.35">
      <c r="B46" s="77" t="s">
        <v>80</v>
      </c>
      <c r="C46" s="81">
        <f t="shared" ca="1" si="29"/>
        <v>0.18762443833954964</v>
      </c>
      <c r="D46" s="81">
        <f t="shared" ca="1" si="30"/>
        <v>0.21036174126302881</v>
      </c>
      <c r="E46" s="81">
        <f t="shared" ca="1" si="31"/>
        <v>0.26081342801807617</v>
      </c>
      <c r="F46" s="81">
        <f t="shared" ca="1" si="31"/>
        <v>0.11020338646797795</v>
      </c>
      <c r="G46" s="81">
        <f t="shared" ca="1" si="32"/>
        <v>0.16911919760911562</v>
      </c>
      <c r="K46" s="77" t="s">
        <v>80</v>
      </c>
      <c r="L46" s="73">
        <f ca="1">L44+L45</f>
        <v>3431</v>
      </c>
      <c r="M46" s="73">
        <f t="shared" ref="M46:O46" ca="1" si="39">M44+M45</f>
        <v>1082.7199999999998</v>
      </c>
      <c r="N46" s="73">
        <f ca="1">N44+N45</f>
        <v>588.82000000000016</v>
      </c>
      <c r="O46" s="73">
        <f t="shared" ca="1" si="39"/>
        <v>1395.46</v>
      </c>
    </row>
    <row r="47" spans="2:15" x14ac:dyDescent="0.35">
      <c r="B47" s="76" t="s">
        <v>81</v>
      </c>
      <c r="C47" s="82">
        <f t="shared" ca="1" si="29"/>
        <v>6.102537155406154E-3</v>
      </c>
      <c r="D47" s="82">
        <f t="shared" ca="1" si="30"/>
        <v>4.1937461679950952E-2</v>
      </c>
      <c r="E47" s="82">
        <f t="shared" ca="1" si="31"/>
        <v>-3.8303479375234865E-2</v>
      </c>
      <c r="F47" s="82">
        <f t="shared" ca="1" si="31"/>
        <v>-2.2964497672668879E-3</v>
      </c>
      <c r="G47" s="82">
        <f t="shared" ca="1" si="32"/>
        <v>2.3072616084175417E-2</v>
      </c>
      <c r="K47" s="76" t="s">
        <v>81</v>
      </c>
      <c r="L47" s="70">
        <f ca="1">SUMIF(
INDIRECT("'"&amp;L$2&amp;"'!$A$1:$A$500"),
$K47,
INDIRECT("'"&amp;L$2&amp;"'!$C$1:$C$500")
)</f>
        <v>684</v>
      </c>
      <c r="M47" s="70">
        <f t="shared" ref="M47:O47" ca="1" si="40">SUMIF(
INDIRECT("'"&amp;M$2&amp;"'!$A$1:$A$500"),
$K47,
INDIRECT("'"&amp;M$2&amp;"'!$C$1:$C$500")
)</f>
        <v>-159.01</v>
      </c>
      <c r="N47" s="70">
        <f ca="1">SUMIF(
INDIRECT("'"&amp;N$2&amp;"'!$A$1:$A$500"),
$K47,
INDIRECT("'"&amp;N$2&amp;"'!$C$1:$C$500")
)</f>
        <v>-12.27</v>
      </c>
      <c r="O47" s="70">
        <f t="shared" ca="1" si="40"/>
        <v>190.38</v>
      </c>
    </row>
    <row r="48" spans="2:15" x14ac:dyDescent="0.35">
      <c r="B48" s="76" t="s">
        <v>82</v>
      </c>
      <c r="C48" s="82">
        <f t="shared" ca="1" si="29"/>
        <v>-1.5519740568885542E-2</v>
      </c>
      <c r="D48" s="82">
        <f t="shared" ca="1" si="30"/>
        <v>-7.357449417535254E-4</v>
      </c>
      <c r="E48" s="82">
        <f t="shared" ca="1" si="31"/>
        <v>1.5652852586647146E-2</v>
      </c>
      <c r="F48" s="82">
        <f t="shared" ca="1" si="31"/>
        <v>-7.9636460959418322E-3</v>
      </c>
      <c r="G48" s="82">
        <f t="shared" ca="1" si="32"/>
        <v>-6.9032423824493955E-2</v>
      </c>
      <c r="K48" s="76" t="s">
        <v>82</v>
      </c>
      <c r="L48" s="78">
        <f ca="1">SUMIF(INDIRECT("'"&amp;L$2&amp;"'!$A$1:$A$500"),$K$49,INDIRECT("'"&amp;L$2&amp;"'!$C$1:$C$500"))-L44+L47</f>
        <v>-12</v>
      </c>
      <c r="M48" s="78">
        <f t="shared" ref="M48:O48" ca="1" si="41">SUMIF(INDIRECT("'"&amp;M$2&amp;"'!$A$1:$A$500"),$K$49,INDIRECT("'"&amp;M$2&amp;"'!$C$1:$C$500"))-M44+M47</f>
        <v>64.980000000000018</v>
      </c>
      <c r="N48" s="78">
        <f ca="1">SUMIF(INDIRECT("'"&amp;N$2&amp;"'!$A$1:$A$500"),$K$49,INDIRECT("'"&amp;N$2&amp;"'!$C$1:$C$500"))-N44+N47</f>
        <v>-42.550000000000082</v>
      </c>
      <c r="O48" s="78">
        <f t="shared" ca="1" si="41"/>
        <v>-569.61</v>
      </c>
    </row>
    <row r="49" spans="2:15" x14ac:dyDescent="0.35">
      <c r="B49" s="77" t="s">
        <v>83</v>
      </c>
      <c r="C49" s="81">
        <f t="shared" ca="1" si="29"/>
        <v>0.1285408323415928</v>
      </c>
      <c r="D49" s="81">
        <f t="shared" ca="1" si="30"/>
        <v>9.7547516860821581E-2</v>
      </c>
      <c r="E49" s="81">
        <f t="shared" ca="1" si="31"/>
        <v>0.30800082865209139</v>
      </c>
      <c r="F49" s="81">
        <f t="shared" ca="1" si="31"/>
        <v>7.8017529379397085E-2</v>
      </c>
      <c r="G49" s="81">
        <f t="shared" ca="1" si="32"/>
        <v>3.0597454474061186E-2</v>
      </c>
      <c r="K49" s="77" t="s">
        <v>83</v>
      </c>
      <c r="L49" s="73">
        <f ca="1">L44-L47+L48</f>
        <v>1591</v>
      </c>
      <c r="M49" s="73">
        <f t="shared" ref="M49:O49" ca="1" si="42">M44-M47+M48</f>
        <v>1278.6099999999999</v>
      </c>
      <c r="N49" s="73">
        <f ca="1">N44-N47+N48</f>
        <v>416.85</v>
      </c>
      <c r="O49" s="73">
        <f t="shared" ca="1" si="42"/>
        <v>252.47000000000003</v>
      </c>
    </row>
    <row r="50" spans="2:15" x14ac:dyDescent="0.35">
      <c r="B50" s="76" t="s">
        <v>84</v>
      </c>
      <c r="C50" s="82">
        <f t="shared" ca="1" si="29"/>
        <v>9.8336250277401421E-3</v>
      </c>
      <c r="D50" s="82">
        <f t="shared" ca="1" si="30"/>
        <v>1.5450643776824034E-2</v>
      </c>
      <c r="E50" s="82">
        <f t="shared" ca="1" si="31"/>
        <v>-3.235115577695769E-3</v>
      </c>
      <c r="F50" s="82">
        <f t="shared" ca="1" si="31"/>
        <v>2.4315790852755832E-2</v>
      </c>
      <c r="G50" s="82">
        <f t="shared" ca="1" si="32"/>
        <v>2.8031810590764651E-3</v>
      </c>
      <c r="K50" s="76" t="s">
        <v>84</v>
      </c>
      <c r="L50" s="70">
        <f ca="1">SUMIF(INDIRECT("'"&amp;L$2&amp;"'!$A$1:$A$500"),$K$50,INDIRECT("'"&amp;L$2&amp;"'!$C$1:$C$500"))</f>
        <v>252</v>
      </c>
      <c r="M50" s="70">
        <f t="shared" ref="M50:O50" ca="1" si="43">SUMIF(INDIRECT("'"&amp;M$2&amp;"'!$A$1:$A$500"),$K$50,INDIRECT("'"&amp;M$2&amp;"'!$C$1:$C$500"))</f>
        <v>-13.43</v>
      </c>
      <c r="N50" s="70">
        <f ca="1">SUMIF(INDIRECT("'"&amp;N$2&amp;"'!$A$1:$A$500"),$K$50,INDIRECT("'"&amp;N$2&amp;"'!$C$1:$C$500"))</f>
        <v>129.91999999999999</v>
      </c>
      <c r="O50" s="70">
        <f t="shared" ca="1" si="43"/>
        <v>23.13</v>
      </c>
    </row>
    <row r="51" spans="2:15" x14ac:dyDescent="0.35">
      <c r="B51" s="76" t="s">
        <v>82</v>
      </c>
      <c r="C51" s="82">
        <f t="shared" ca="1" si="29"/>
        <v>3.2188841201716739E-4</v>
      </c>
      <c r="D51" s="82">
        <f t="shared" ca="1" si="30"/>
        <v>1.2875536480686696E-3</v>
      </c>
      <c r="E51" s="82">
        <f t="shared" ca="1" si="31"/>
        <v>0</v>
      </c>
      <c r="F51" s="82">
        <f t="shared" ca="1" si="31"/>
        <v>0</v>
      </c>
      <c r="G51" s="82">
        <f t="shared" ca="1" si="32"/>
        <v>0</v>
      </c>
      <c r="K51" s="76" t="s">
        <v>82</v>
      </c>
      <c r="L51" s="78">
        <f ca="1">SUMIF(INDIRECT("'"&amp;L$2&amp;"'!$A$1:$A$500"),$K$52,INDIRECT("'"&amp;L$2&amp;"'!$C$1:$C$500"))-(L49-L50)</f>
        <v>21</v>
      </c>
      <c r="M51" s="78">
        <f t="shared" ref="M51:O51" ca="1" si="44">SUMIF(INDIRECT("'"&amp;M$2&amp;"'!$A$1:$A$500"),$K$52,INDIRECT("'"&amp;M$2&amp;"'!$C$1:$C$500"))-(M49-M50)</f>
        <v>0</v>
      </c>
      <c r="N51" s="78">
        <f ca="1">SUMIF(INDIRECT("'"&amp;N$2&amp;"'!$A$1:$A$500"),$K$52,INDIRECT("'"&amp;N$2&amp;"'!$C$1:$C$500"))-(N49-N50)</f>
        <v>0</v>
      </c>
      <c r="O51" s="78">
        <f t="shared" ca="1" si="44"/>
        <v>0</v>
      </c>
    </row>
    <row r="52" spans="2:15" x14ac:dyDescent="0.35">
      <c r="B52" s="77" t="s">
        <v>85</v>
      </c>
      <c r="C52" s="81">
        <f t="shared" ca="1" si="29"/>
        <v>0.11902909572586984</v>
      </c>
      <c r="D52" s="81">
        <f t="shared" ca="1" si="30"/>
        <v>8.3384426732066211E-2</v>
      </c>
      <c r="E52" s="81">
        <f t="shared" ca="1" si="31"/>
        <v>0.31123594422978718</v>
      </c>
      <c r="F52" s="81">
        <f t="shared" ca="1" si="31"/>
        <v>5.3701738526641264E-2</v>
      </c>
      <c r="G52" s="81">
        <f t="shared" ca="1" si="32"/>
        <v>2.7794273414984721E-2</v>
      </c>
      <c r="K52" s="77" t="s">
        <v>85</v>
      </c>
      <c r="L52" s="73">
        <f ca="1">L49-L50+L51</f>
        <v>1360</v>
      </c>
      <c r="M52" s="73">
        <f t="shared" ref="M52:O52" ca="1" si="45">M49-M50+M51</f>
        <v>1292.04</v>
      </c>
      <c r="N52" s="73">
        <f ca="1">N49-N50+N51</f>
        <v>286.93000000000006</v>
      </c>
      <c r="O52" s="73">
        <f t="shared" ca="1" si="45"/>
        <v>229.34000000000003</v>
      </c>
    </row>
    <row r="53" spans="2:15" x14ac:dyDescent="0.35">
      <c r="K53" s="133" t="s">
        <v>787</v>
      </c>
      <c r="L53" s="134">
        <f ca="1">ROUND(SUMIF(INDIRECT("'"&amp;L$2&amp;"'!$A$1:$A$500"),$K$52,INDIRECT("'"&amp;L$2&amp;"'!$C$1:$C$500"))-L52,2)</f>
        <v>0</v>
      </c>
      <c r="M53" s="134">
        <f t="shared" ref="M53:O53" ca="1" si="46">ROUND(SUMIF(INDIRECT("'"&amp;M$2&amp;"'!$A$1:$A$500"),$K$52,INDIRECT("'"&amp;M$2&amp;"'!$C$1:$C$500"))-M52,2)</f>
        <v>0</v>
      </c>
      <c r="N53" s="134">
        <f ca="1">ROUND(SUMIF(INDIRECT("'"&amp;N$2&amp;"'!$A$1:$A$500"),$K$52,INDIRECT("'"&amp;N$2&amp;"'!$C$1:$C$500"))-N52,2)</f>
        <v>0</v>
      </c>
      <c r="O53" s="134">
        <f t="shared" ca="1" si="46"/>
        <v>0</v>
      </c>
    </row>
    <row r="55" spans="2:15" ht="12" customHeight="1" x14ac:dyDescent="0.35">
      <c r="B55" s="124" t="s">
        <v>759</v>
      </c>
      <c r="C55" s="124"/>
      <c r="D55" s="124"/>
      <c r="E55" s="124"/>
      <c r="F55" s="124"/>
      <c r="G55" s="124"/>
      <c r="K55" s="124" t="s">
        <v>759</v>
      </c>
      <c r="L55" s="124"/>
      <c r="M55" s="124"/>
      <c r="N55" s="124"/>
      <c r="O55" s="124"/>
    </row>
    <row r="56" spans="2:15" x14ac:dyDescent="0.35">
      <c r="B56" s="77" t="s">
        <v>760</v>
      </c>
      <c r="C56" s="128">
        <f ca="1">IFERROR(AVERAGE(D56:G56),0)</f>
        <v>2.619848601391999</v>
      </c>
      <c r="D56" s="128">
        <f ca="1">L56</f>
        <v>0.74946030223075077</v>
      </c>
      <c r="E56" s="128">
        <f t="shared" ref="E56:E63" ca="1" si="47">M56</f>
        <v>5.2258387050348816</v>
      </c>
      <c r="F56" s="128">
        <f t="shared" ref="F56:G58" ca="1" si="48">N56</f>
        <v>3.4085125462727537</v>
      </c>
      <c r="G56" s="128">
        <f t="shared" ca="1" si="48"/>
        <v>1.0955828520296103</v>
      </c>
      <c r="K56" s="77" t="s">
        <v>760</v>
      </c>
      <c r="L56" s="135">
        <f ca="1">IFERROR(L11/L23,0)</f>
        <v>0.74946030223075077</v>
      </c>
      <c r="M56" s="135">
        <f t="shared" ref="M56:O56" ca="1" si="49">IFERROR(M11/M23,0)</f>
        <v>5.2258387050348816</v>
      </c>
      <c r="N56" s="135">
        <f ca="1">IFERROR(N11/N23,0)</f>
        <v>3.4085125462727537</v>
      </c>
      <c r="O56" s="135">
        <f t="shared" ca="1" si="49"/>
        <v>1.0955828520296103</v>
      </c>
    </row>
    <row r="57" spans="2:15" x14ac:dyDescent="0.35">
      <c r="B57" s="77" t="s">
        <v>761</v>
      </c>
      <c r="C57" s="128">
        <f ca="1">IFERROR(AVERAGE(D57:G57),0)</f>
        <v>2.1949024312075496</v>
      </c>
      <c r="D57" s="128">
        <f t="shared" ref="D57:D63" ca="1" si="50">L57</f>
        <v>0.66454785320220677</v>
      </c>
      <c r="E57" s="128">
        <f t="shared" ca="1" si="47"/>
        <v>4.4914822866405588</v>
      </c>
      <c r="F57" s="128">
        <f t="shared" ca="1" si="48"/>
        <v>2.9596025874466187</v>
      </c>
      <c r="G57" s="128">
        <f t="shared" ca="1" si="48"/>
        <v>0.66397699754081441</v>
      </c>
      <c r="K57" s="77" t="s">
        <v>761</v>
      </c>
      <c r="L57" s="135">
        <f ca="1">IFERROR(SUM(L6:L8)/L23,0)</f>
        <v>0.66454785320220677</v>
      </c>
      <c r="M57" s="135">
        <f t="shared" ref="M57:O57" ca="1" si="51">IFERROR(SUM(M6:M8)/M23,0)</f>
        <v>4.4914822866405588</v>
      </c>
      <c r="N57" s="135">
        <f ca="1">IFERROR(SUM(N6:N8)/N23,0)</f>
        <v>2.9596025874466187</v>
      </c>
      <c r="O57" s="135">
        <f t="shared" ca="1" si="51"/>
        <v>0.66397699754081441</v>
      </c>
    </row>
    <row r="58" spans="2:15" x14ac:dyDescent="0.35">
      <c r="B58" s="77" t="s">
        <v>762</v>
      </c>
      <c r="C58" s="130">
        <f t="shared" ref="C58:C63" ca="1" si="52">IFERROR(AVERAGE(D58:G58),0)</f>
        <v>2050.0425</v>
      </c>
      <c r="D58" s="130">
        <f t="shared" ca="1" si="50"/>
        <v>-2089</v>
      </c>
      <c r="E58" s="130">
        <f t="shared" ca="1" si="47"/>
        <v>5578.91</v>
      </c>
      <c r="F58" s="130">
        <f t="shared" ca="1" si="48"/>
        <v>4404.76</v>
      </c>
      <c r="G58" s="130">
        <f t="shared" ca="1" si="48"/>
        <v>305.5</v>
      </c>
      <c r="K58" s="77" t="s">
        <v>762</v>
      </c>
      <c r="L58" s="136">
        <f ca="1">L11-L23</f>
        <v>-2089</v>
      </c>
      <c r="M58" s="136">
        <f t="shared" ref="M58:O58" ca="1" si="53">M11-M23</f>
        <v>5578.91</v>
      </c>
      <c r="N58" s="136">
        <f ca="1">N11-N23</f>
        <v>4404.76</v>
      </c>
      <c r="O58" s="136">
        <f t="shared" ca="1" si="53"/>
        <v>305.5</v>
      </c>
    </row>
    <row r="59" spans="2:15" ht="12" customHeight="1" x14ac:dyDescent="0.35">
      <c r="B59" s="124" t="s">
        <v>763</v>
      </c>
      <c r="C59" s="125">
        <f t="shared" si="52"/>
        <v>0</v>
      </c>
      <c r="D59" s="125">
        <f t="shared" si="50"/>
        <v>0</v>
      </c>
      <c r="E59" s="125">
        <f t="shared" si="47"/>
        <v>0</v>
      </c>
      <c r="F59" s="125"/>
      <c r="G59" s="125"/>
      <c r="K59" s="124" t="s">
        <v>763</v>
      </c>
      <c r="L59" s="125"/>
      <c r="M59" s="125"/>
      <c r="N59" s="125"/>
      <c r="O59" s="125"/>
    </row>
    <row r="60" spans="2:15" x14ac:dyDescent="0.35">
      <c r="B60" s="77" t="s">
        <v>764</v>
      </c>
      <c r="C60" s="128">
        <f t="shared" ca="1" si="52"/>
        <v>0.5588364155012403</v>
      </c>
      <c r="D60" s="128">
        <f t="shared" ca="1" si="50"/>
        <v>0</v>
      </c>
      <c r="E60" s="128">
        <f t="shared" ca="1" si="47"/>
        <v>1.0233661837503973</v>
      </c>
      <c r="F60" s="128">
        <f t="shared" ref="F60:G67" ca="1" si="54">N60</f>
        <v>1.2119794782545639</v>
      </c>
      <c r="G60" s="128">
        <f t="shared" ca="1" si="54"/>
        <v>0</v>
      </c>
      <c r="K60" s="77" t="s">
        <v>764</v>
      </c>
      <c r="L60" s="135">
        <f ca="1">IFERROR(L38/AVERAGE(L9,SUMIF(INDIRECT("'"&amp;L$2&amp;"'!$A$1:$A$500"),$K$9,INDIRECT("'"&amp;L$2&amp;"'!$B$1:$B$500"))),0)</f>
        <v>0</v>
      </c>
      <c r="M60" s="135">
        <f t="shared" ref="M60:O60" ca="1" si="55">IFERROR(M38/AVERAGE(M9,SUMIF(INDIRECT("'"&amp;M$2&amp;"'!$A$1:$A$500"),$K$9,INDIRECT("'"&amp;M$2&amp;"'!$B$1:$B$500"))),0)</f>
        <v>1.0233661837503973</v>
      </c>
      <c r="N60" s="135">
        <f ca="1">IFERROR(N38/AVERAGE(N9,SUMIF(INDIRECT("'"&amp;N$2&amp;"'!$A$1:$A$500"),$K$9,INDIRECT("'"&amp;N$2&amp;"'!$B$1:$B$500"))),0)</f>
        <v>1.2119794782545639</v>
      </c>
      <c r="O60" s="135">
        <f t="shared" ca="1" si="55"/>
        <v>0</v>
      </c>
    </row>
    <row r="61" spans="2:15" x14ac:dyDescent="0.35">
      <c r="B61" s="77" t="s">
        <v>765</v>
      </c>
      <c r="C61" s="128">
        <f t="shared" ca="1" si="52"/>
        <v>31.14183752120595</v>
      </c>
      <c r="D61" s="128">
        <f t="shared" ca="1" si="50"/>
        <v>19.817739975698665</v>
      </c>
      <c r="E61" s="128">
        <f t="shared" ca="1" si="47"/>
        <v>86.037720207253884</v>
      </c>
      <c r="F61" s="128">
        <f t="shared" ca="1" si="54"/>
        <v>2.9851664375984712</v>
      </c>
      <c r="G61" s="128">
        <f t="shared" ca="1" si="54"/>
        <v>15.726723464272782</v>
      </c>
      <c r="K61" s="77" t="s">
        <v>765</v>
      </c>
      <c r="L61" s="135">
        <f ca="1">IFERROR(L37/L14,0)</f>
        <v>19.817739975698665</v>
      </c>
      <c r="M61" s="135">
        <f t="shared" ref="M61:O61" ca="1" si="56">IFERROR(M37/M14,0)</f>
        <v>86.037720207253884</v>
      </c>
      <c r="N61" s="135">
        <f ca="1">IFERROR(N37/N14,0)</f>
        <v>2.9851664375984712</v>
      </c>
      <c r="O61" s="135">
        <f t="shared" ca="1" si="56"/>
        <v>15.726723464272782</v>
      </c>
    </row>
    <row r="62" spans="2:15" x14ac:dyDescent="0.35">
      <c r="B62" s="77" t="s">
        <v>766</v>
      </c>
      <c r="C62" s="128">
        <f t="shared" ca="1" si="52"/>
        <v>0.54561339599605096</v>
      </c>
      <c r="D62" s="128">
        <f t="shared" ca="1" si="50"/>
        <v>0.54468340903018964</v>
      </c>
      <c r="E62" s="128">
        <f t="shared" ca="1" si="47"/>
        <v>0.47811450138148426</v>
      </c>
      <c r="F62" s="128">
        <f t="shared" ca="1" si="54"/>
        <v>0.65249854370176963</v>
      </c>
      <c r="G62" s="128">
        <f t="shared" ca="1" si="54"/>
        <v>0.50715712987076045</v>
      </c>
      <c r="K62" s="77" t="s">
        <v>766</v>
      </c>
      <c r="L62" s="135">
        <f ca="1">IFERROR(L37/L18,0)</f>
        <v>0.54468340903018964</v>
      </c>
      <c r="M62" s="135">
        <f t="shared" ref="M62:O62" ca="1" si="57">IFERROR(M37/M18,0)</f>
        <v>0.47811450138148426</v>
      </c>
      <c r="N62" s="135">
        <f ca="1">IFERROR(N37/N18,0)</f>
        <v>0.65249854370176963</v>
      </c>
      <c r="O62" s="135">
        <f t="shared" ca="1" si="57"/>
        <v>0.50715712987076045</v>
      </c>
    </row>
    <row r="63" spans="2:15" x14ac:dyDescent="0.35">
      <c r="B63" s="77" t="s">
        <v>767</v>
      </c>
      <c r="C63" s="129">
        <f t="shared" ca="1" si="52"/>
        <v>82.849006911236131</v>
      </c>
      <c r="D63" s="129">
        <f t="shared" ca="1" si="50"/>
        <v>76.088289393010413</v>
      </c>
      <c r="E63" s="129">
        <f t="shared" ca="1" si="47"/>
        <v>130.96871597467793</v>
      </c>
      <c r="F63" s="129">
        <f t="shared" ca="1" si="54"/>
        <v>59.09646773460004</v>
      </c>
      <c r="G63" s="129">
        <f t="shared" ca="1" si="54"/>
        <v>65.242554542656109</v>
      </c>
      <c r="K63" s="77" t="s">
        <v>767</v>
      </c>
      <c r="L63" s="137">
        <f ca="1">IFERROR(L8/(L37/365),0)</f>
        <v>76.088289393010413</v>
      </c>
      <c r="M63" s="137">
        <f t="shared" ref="M63:O63" ca="1" si="58">IFERROR(M8/(M37/365),0)</f>
        <v>130.96871597467793</v>
      </c>
      <c r="N63" s="137">
        <f ca="1">IFERROR(N8/(N37/365),0)</f>
        <v>59.09646773460004</v>
      </c>
      <c r="O63" s="137">
        <f t="shared" ca="1" si="58"/>
        <v>65.242554542656109</v>
      </c>
    </row>
    <row r="64" spans="2:15" x14ac:dyDescent="0.35">
      <c r="B64" t="s">
        <v>768</v>
      </c>
      <c r="C64" s="129">
        <f ca="1">IFERROR(AVERAGE(D64:G64),0)</f>
        <v>178.89680862390657</v>
      </c>
      <c r="D64" s="129">
        <f t="shared" ref="D64:E67" ca="1" si="59">L64</f>
        <v>0</v>
      </c>
      <c r="E64" s="129">
        <f t="shared" ca="1" si="59"/>
        <v>383.51443406483673</v>
      </c>
      <c r="F64" s="129">
        <f t="shared" ca="1" si="54"/>
        <v>332.07280043078947</v>
      </c>
      <c r="G64" s="129">
        <f t="shared" ca="1" si="54"/>
        <v>0</v>
      </c>
      <c r="K64" t="s">
        <v>768</v>
      </c>
      <c r="L64" s="137">
        <f ca="1">IFERROR(L9/(L38/365),0)</f>
        <v>0</v>
      </c>
      <c r="M64" s="137">
        <f t="shared" ref="M64:O64" ca="1" si="60">IFERROR(M9/(M38/365),0)</f>
        <v>383.51443406483673</v>
      </c>
      <c r="N64" s="137">
        <f ca="1">IFERROR(N9/(N38/365),0)</f>
        <v>332.07280043078947</v>
      </c>
      <c r="O64" s="137">
        <f t="shared" ca="1" si="60"/>
        <v>0</v>
      </c>
    </row>
    <row r="65" spans="2:15" x14ac:dyDescent="0.35">
      <c r="B65" t="s">
        <v>769</v>
      </c>
      <c r="C65" s="129">
        <f ca="1">IFERROR(AVERAGE(D65:G65),0)</f>
        <v>186.2451244927245</v>
      </c>
      <c r="D65" s="129">
        <f t="shared" ca="1" si="59"/>
        <v>23.677644710578843</v>
      </c>
      <c r="E65" s="129">
        <f t="shared" ca="1" si="59"/>
        <v>448.90618412585701</v>
      </c>
      <c r="F65" s="129">
        <f t="shared" ca="1" si="54"/>
        <v>261.53947407784125</v>
      </c>
      <c r="G65" s="129">
        <f t="shared" ca="1" si="54"/>
        <v>10.857195056620951</v>
      </c>
      <c r="K65" t="s">
        <v>769</v>
      </c>
      <c r="L65" s="137">
        <f ca="1">IFERROR(L20/(L38/365),0)</f>
        <v>23.677644710578843</v>
      </c>
      <c r="M65" s="137">
        <f t="shared" ref="M65:O65" ca="1" si="61">IFERROR(M20/(M38/365),0)</f>
        <v>448.90618412585701</v>
      </c>
      <c r="N65" s="137">
        <f ca="1">IFERROR(N20/(N38/365),0)</f>
        <v>261.53947407784125</v>
      </c>
      <c r="O65" s="137">
        <f t="shared" ca="1" si="61"/>
        <v>10.857195056620951</v>
      </c>
    </row>
    <row r="66" spans="2:15" x14ac:dyDescent="0.35">
      <c r="B66" t="s">
        <v>770</v>
      </c>
      <c r="C66" s="129">
        <f ca="1">IFERROR(AVERAGE(D66:G66),0)</f>
        <v>261.74581553514264</v>
      </c>
      <c r="D66" s="129">
        <f t="shared" ca="1" si="59"/>
        <v>76.088289393010413</v>
      </c>
      <c r="E66" s="129">
        <f t="shared" ca="1" si="59"/>
        <v>514.48315003951461</v>
      </c>
      <c r="F66" s="129">
        <f t="shared" ca="1" si="54"/>
        <v>391.1692681653895</v>
      </c>
      <c r="G66" s="129">
        <f t="shared" ca="1" si="54"/>
        <v>65.242554542656109</v>
      </c>
      <c r="K66" t="s">
        <v>770</v>
      </c>
      <c r="L66" s="137">
        <f ca="1">L63+L64</f>
        <v>76.088289393010413</v>
      </c>
      <c r="M66" s="137">
        <f t="shared" ref="M66:O66" ca="1" si="62">M63+M64</f>
        <v>514.48315003951461</v>
      </c>
      <c r="N66" s="137">
        <f ca="1">N63+N64</f>
        <v>391.1692681653895</v>
      </c>
      <c r="O66" s="137">
        <f t="shared" ca="1" si="62"/>
        <v>65.242554542656109</v>
      </c>
    </row>
    <row r="67" spans="2:15" x14ac:dyDescent="0.35">
      <c r="B67" t="s">
        <v>771</v>
      </c>
      <c r="C67" s="129">
        <f ca="1">IFERROR(AVERAGE(D67:G67),0)</f>
        <v>75.50069104241814</v>
      </c>
      <c r="D67" s="129">
        <f t="shared" ca="1" si="59"/>
        <v>52.410644682431567</v>
      </c>
      <c r="E67" s="129">
        <f t="shared" ca="1" si="59"/>
        <v>65.576965913657602</v>
      </c>
      <c r="F67" s="129">
        <f t="shared" ca="1" si="54"/>
        <v>129.62979408754825</v>
      </c>
      <c r="G67" s="129">
        <f t="shared" ca="1" si="54"/>
        <v>54.385359486035156</v>
      </c>
      <c r="K67" t="s">
        <v>771</v>
      </c>
      <c r="L67" s="137">
        <f ca="1">L63+L64-L65</f>
        <v>52.410644682431567</v>
      </c>
      <c r="M67" s="137">
        <f t="shared" ref="M67:O67" ca="1" si="63">M63+M64-M65</f>
        <v>65.576965913657602</v>
      </c>
      <c r="N67" s="137">
        <f ca="1">N63+N64-N65</f>
        <v>129.62979408754825</v>
      </c>
      <c r="O67" s="137">
        <f t="shared" ca="1" si="63"/>
        <v>54.385359486035156</v>
      </c>
    </row>
    <row r="68" spans="2:15" ht="12" customHeight="1" x14ac:dyDescent="0.35">
      <c r="B68" s="126" t="s">
        <v>772</v>
      </c>
      <c r="C68" s="126"/>
      <c r="D68" s="126"/>
      <c r="E68" s="126"/>
      <c r="F68" s="126"/>
      <c r="G68" s="126"/>
      <c r="K68" s="126" t="s">
        <v>772</v>
      </c>
      <c r="L68" s="126"/>
      <c r="M68" s="126"/>
      <c r="N68" s="126"/>
      <c r="O68" s="126"/>
    </row>
    <row r="69" spans="2:15" x14ac:dyDescent="0.35">
      <c r="B69" t="s">
        <v>773</v>
      </c>
      <c r="C69" s="127">
        <f ca="1">IFERROR(AVERAGE(D69:G69),0)</f>
        <v>0.45849560952607576</v>
      </c>
      <c r="D69" s="127">
        <f t="shared" ref="D69:G70" ca="1" si="64">L69</f>
        <v>0.77858669516430667</v>
      </c>
      <c r="E69" s="127">
        <f t="shared" ca="1" si="64"/>
        <v>0.15658856875000721</v>
      </c>
      <c r="F69" s="127">
        <f t="shared" ca="1" si="64"/>
        <v>0.46386609627810471</v>
      </c>
      <c r="G69" s="127">
        <f t="shared" ca="1" si="64"/>
        <v>0.43494107791188452</v>
      </c>
      <c r="K69" t="s">
        <v>773</v>
      </c>
      <c r="L69" s="138">
        <f ca="1">IFERROR(L28/L18,0)</f>
        <v>0.77858669516430667</v>
      </c>
      <c r="M69" s="138">
        <f t="shared" ref="M69:O69" ca="1" si="65">IFERROR(M28/M18,0)</f>
        <v>0.15658856875000721</v>
      </c>
      <c r="N69" s="138">
        <f ca="1">IFERROR(N28/N18,0)</f>
        <v>0.46386609627810471</v>
      </c>
      <c r="O69" s="138">
        <f t="shared" ca="1" si="65"/>
        <v>0.43494107791188452</v>
      </c>
    </row>
    <row r="70" spans="2:15" x14ac:dyDescent="0.35">
      <c r="B70" t="s">
        <v>774</v>
      </c>
      <c r="C70" s="128">
        <f ca="1">IFERROR(AVERAGE(D70:G70),0)</f>
        <v>-8.602914489733271</v>
      </c>
      <c r="D70" s="128">
        <f t="shared" ca="1" si="64"/>
        <v>3.3435672514619883</v>
      </c>
      <c r="E70" s="128">
        <f t="shared" ca="1" si="64"/>
        <v>-6.6324130557826546</v>
      </c>
      <c r="F70" s="128">
        <f t="shared" ca="1" si="64"/>
        <v>-36.440912795436034</v>
      </c>
      <c r="G70" s="128">
        <f t="shared" ca="1" si="64"/>
        <v>5.3181006408236167</v>
      </c>
      <c r="K70" t="s">
        <v>774</v>
      </c>
      <c r="L70" s="135">
        <f ca="1">IFERROR(L44/L47,0)</f>
        <v>3.3435672514619883</v>
      </c>
      <c r="M70" s="135">
        <f t="shared" ref="M70:O70" ca="1" si="66">IFERROR(M44/M47,0)</f>
        <v>-6.6324130557826546</v>
      </c>
      <c r="N70" s="135">
        <f ca="1">IFERROR(N44/N47,0)</f>
        <v>-36.440912795436034</v>
      </c>
      <c r="O70" s="135">
        <f t="shared" ca="1" si="66"/>
        <v>5.3181006408236167</v>
      </c>
    </row>
    <row r="71" spans="2:15" ht="12" customHeight="1" x14ac:dyDescent="0.35">
      <c r="B71" s="126" t="s">
        <v>775</v>
      </c>
      <c r="C71" s="126"/>
      <c r="D71" s="126"/>
      <c r="E71" s="126"/>
      <c r="F71" s="126"/>
      <c r="G71" s="126"/>
      <c r="K71" s="126" t="s">
        <v>775</v>
      </c>
      <c r="L71" s="126"/>
      <c r="M71" s="126"/>
      <c r="N71" s="126"/>
      <c r="O71" s="126"/>
    </row>
    <row r="72" spans="2:15" x14ac:dyDescent="0.35">
      <c r="B72" t="s">
        <v>776</v>
      </c>
      <c r="C72" s="127">
        <f t="shared" ref="C72:C78" ca="1" si="67">IFERROR(AVERAGE(D72:G72),0)</f>
        <v>0.11902909572586984</v>
      </c>
      <c r="D72" s="127">
        <f t="shared" ref="D72:G78" ca="1" si="68">L72</f>
        <v>8.3384426732066211E-2</v>
      </c>
      <c r="E72" s="127">
        <f t="shared" ca="1" si="68"/>
        <v>0.31123594422978718</v>
      </c>
      <c r="F72" s="127">
        <f t="shared" ca="1" si="68"/>
        <v>5.3701738526641264E-2</v>
      </c>
      <c r="G72" s="127">
        <f t="shared" ca="1" si="68"/>
        <v>2.7794273414984721E-2</v>
      </c>
      <c r="K72" t="s">
        <v>776</v>
      </c>
      <c r="L72" s="138">
        <f ca="1">IFERROR(L52/L37,0)</f>
        <v>8.3384426732066211E-2</v>
      </c>
      <c r="M72" s="138">
        <f ca="1">IFERROR(M52/M37,0)</f>
        <v>0.31123594422978718</v>
      </c>
      <c r="N72" s="138">
        <f ca="1">IFERROR(N52/N37,0)</f>
        <v>5.3701738526641264E-2</v>
      </c>
      <c r="O72" s="138">
        <f t="shared" ref="M72:O72" ca="1" si="69">IFERROR(O52/O37,0)</f>
        <v>2.7794273414984721E-2</v>
      </c>
    </row>
    <row r="73" spans="2:15" x14ac:dyDescent="0.35">
      <c r="B73" t="s">
        <v>777</v>
      </c>
      <c r="C73" s="127">
        <f t="shared" ca="1" si="67"/>
        <v>0.15016311006588451</v>
      </c>
      <c r="D73" s="127">
        <f t="shared" ca="1" si="68"/>
        <v>0.14022072348252607</v>
      </c>
      <c r="E73" s="127">
        <f t="shared" ca="1" si="68"/>
        <v>0.2540444966902094</v>
      </c>
      <c r="F73" s="127">
        <f t="shared" ca="1" si="68"/>
        <v>8.3684725708072033E-2</v>
      </c>
      <c r="G73" s="127">
        <f t="shared" ca="1" si="68"/>
        <v>0.12270249438273056</v>
      </c>
      <c r="K73" t="s">
        <v>777</v>
      </c>
      <c r="L73" s="138">
        <f ca="1">IFERROR(L44/L37,0)</f>
        <v>0.14022072348252607</v>
      </c>
      <c r="M73" s="138">
        <f t="shared" ref="M73:O73" ca="1" si="70">IFERROR(M44/M37,0)</f>
        <v>0.2540444966902094</v>
      </c>
      <c r="N73" s="138">
        <f ca="1">IFERROR(N44/N37,0)</f>
        <v>8.3684725708072033E-2</v>
      </c>
      <c r="O73" s="138">
        <f t="shared" ca="1" si="70"/>
        <v>0.12270249438273056</v>
      </c>
    </row>
    <row r="74" spans="2:15" x14ac:dyDescent="0.35">
      <c r="B74" t="s">
        <v>778</v>
      </c>
      <c r="C74" s="127">
        <f t="shared" ca="1" si="67"/>
        <v>6.0840225553685887E-2</v>
      </c>
      <c r="D74" s="127">
        <f t="shared" ca="1" si="68"/>
        <v>4.5418113812449909E-2</v>
      </c>
      <c r="E74" s="127">
        <f t="shared" ca="1" si="68"/>
        <v>0.14880641828742014</v>
      </c>
      <c r="F74" s="127">
        <f t="shared" ca="1" si="68"/>
        <v>3.5040306182886644E-2</v>
      </c>
      <c r="G74" s="127">
        <f t="shared" ca="1" si="68"/>
        <v>1.409606393198683E-2</v>
      </c>
      <c r="K74" t="s">
        <v>778</v>
      </c>
      <c r="L74" s="138">
        <f ca="1">IFERROR(L52/L18,0)</f>
        <v>4.5418113812449909E-2</v>
      </c>
      <c r="M74" s="138">
        <f t="shared" ref="M74:O74" ca="1" si="71">IFERROR(M52/M18,0)</f>
        <v>0.14880641828742014</v>
      </c>
      <c r="N74" s="138">
        <f ca="1">IFERROR(N52/N18,0)</f>
        <v>3.5040306182886644E-2</v>
      </c>
      <c r="O74" s="138">
        <f t="shared" ca="1" si="71"/>
        <v>1.409606393198683E-2</v>
      </c>
    </row>
    <row r="75" spans="2:15" x14ac:dyDescent="0.35">
      <c r="B75" t="s">
        <v>63</v>
      </c>
      <c r="C75" s="127">
        <f t="shared" ca="1" si="67"/>
        <v>0.11796637823431619</v>
      </c>
      <c r="D75" s="127">
        <f t="shared" ca="1" si="68"/>
        <v>0.20512820512820512</v>
      </c>
      <c r="E75" s="127">
        <f t="shared" ca="1" si="68"/>
        <v>0.17643371855323367</v>
      </c>
      <c r="F75" s="127">
        <f t="shared" ca="1" si="68"/>
        <v>6.5357377960306787E-2</v>
      </c>
      <c r="G75" s="127">
        <f t="shared" ca="1" si="68"/>
        <v>2.4946211295519171E-2</v>
      </c>
      <c r="K75" t="s">
        <v>63</v>
      </c>
      <c r="L75" s="138">
        <f ca="1">IFERROR(L52/L32,0)</f>
        <v>0.20512820512820512</v>
      </c>
      <c r="M75" s="138">
        <f t="shared" ref="M75:O75" ca="1" si="72">IFERROR(M52/M32,0)</f>
        <v>0.17643371855323367</v>
      </c>
      <c r="N75" s="138">
        <f ca="1">IFERROR(N52/N32,0)</f>
        <v>6.5357377960306787E-2</v>
      </c>
      <c r="O75" s="138">
        <f t="shared" ca="1" si="72"/>
        <v>2.4946211295519171E-2</v>
      </c>
    </row>
    <row r="76" spans="2:15" x14ac:dyDescent="0.35">
      <c r="B76" t="s">
        <v>779</v>
      </c>
      <c r="C76" s="127">
        <f t="shared" ca="1" si="67"/>
        <v>8.7902452353205471E-2</v>
      </c>
      <c r="D76" s="127">
        <f t="shared" ca="1" si="68"/>
        <v>8.5272013974584351E-2</v>
      </c>
      <c r="E76" s="127">
        <f t="shared" ca="1" si="68"/>
        <v>0.14459445745215677</v>
      </c>
      <c r="F76" s="127">
        <f t="shared" ca="1" si="68"/>
        <v>4.8726415331230788E-2</v>
      </c>
      <c r="G76" s="127">
        <f t="shared" ca="1" si="68"/>
        <v>7.3016922654850006E-2</v>
      </c>
      <c r="K76" t="s">
        <v>779</v>
      </c>
      <c r="L76" s="138">
        <f ca="1">IFERROR((L44*(1-IFERROR(L50/L49,0)))/(L21+L25+L32),0)</f>
        <v>8.5272013974584351E-2</v>
      </c>
      <c r="M76" s="138">
        <f t="shared" ref="M76:O76" ca="1" si="73">IFERROR((M44*(1-IFERROR(M50/M49,0)))/(M21+M25+M32),0)</f>
        <v>0.14459445745215677</v>
      </c>
      <c r="N76" s="138">
        <f t="shared" ca="1" si="73"/>
        <v>4.8726415331230788E-2</v>
      </c>
      <c r="O76" s="138">
        <f t="shared" ca="1" si="73"/>
        <v>7.3016922654850006E-2</v>
      </c>
    </row>
    <row r="77" spans="2:15" x14ac:dyDescent="0.35">
      <c r="B77" t="s">
        <v>780</v>
      </c>
      <c r="C77" s="127">
        <f t="shared" ca="1" si="67"/>
        <v>0.154301286754084</v>
      </c>
      <c r="D77" s="127">
        <f t="shared" ca="1" si="68"/>
        <v>9.8071940254474577E-2</v>
      </c>
      <c r="E77" s="127">
        <f t="shared" ca="1" si="68"/>
        <v>0.27528790740795728</v>
      </c>
      <c r="F77" s="127">
        <f t="shared" ca="1" si="68"/>
        <v>0.1698327490816551</v>
      </c>
      <c r="G77" s="127">
        <f t="shared" ca="1" si="68"/>
        <v>7.4012550272249011E-2</v>
      </c>
      <c r="K77" t="s">
        <v>780</v>
      </c>
      <c r="L77" s="138">
        <f ca="1">IFERROR((L44*(1-IFERROR(L50/L49,0)))/(L17+(L11-L6-L23)),0)</f>
        <v>9.8071940254474577E-2</v>
      </c>
      <c r="M77" s="138">
        <f t="shared" ref="M77:O77" ca="1" si="74">IFERROR((M44*(1-IFERROR(M50/M49,0)))/(M17+(M11-M6-M23)),0)</f>
        <v>0.27528790740795728</v>
      </c>
      <c r="N77" s="138">
        <f ca="1">IFERROR((N44*(1-IFERROR(N50/N49,0)))/(N17+(N11-N6-N23)),0)</f>
        <v>0.1698327490816551</v>
      </c>
      <c r="O77" s="138">
        <f t="shared" ca="1" si="74"/>
        <v>7.4012550272249011E-2</v>
      </c>
    </row>
    <row r="78" spans="2:15" x14ac:dyDescent="0.35">
      <c r="B78" t="s">
        <v>781</v>
      </c>
      <c r="C78" s="127">
        <f t="shared" ca="1" si="67"/>
        <v>8.8143292350719674E-2</v>
      </c>
      <c r="D78" s="127">
        <f t="shared" ca="1" si="68"/>
        <v>8.908450890652217E-2</v>
      </c>
      <c r="E78" s="127">
        <f t="shared" ca="1" si="68"/>
        <v>0.14474666214421167</v>
      </c>
      <c r="F78" s="127">
        <f t="shared" ca="1" si="68"/>
        <v>4.8393897582804685E-2</v>
      </c>
      <c r="G78" s="127">
        <f t="shared" ca="1" si="68"/>
        <v>7.0348100769340172E-2</v>
      </c>
      <c r="K78" t="s">
        <v>781</v>
      </c>
      <c r="L78" s="138">
        <f ca="1">IFERROR((L44*(1-IFERROR(L50/L49,0)))/(L18-L23),0)</f>
        <v>8.908450890652217E-2</v>
      </c>
      <c r="M78" s="138">
        <f t="shared" ref="M78:O78" ca="1" si="75">IFERROR((M44*(1-IFERROR(M50/M49,0)))/(M18-M23),0)</f>
        <v>0.14474666214421167</v>
      </c>
      <c r="N78" s="138">
        <f t="shared" ca="1" si="75"/>
        <v>4.8393897582804685E-2</v>
      </c>
      <c r="O78" s="138">
        <f t="shared" ca="1" si="75"/>
        <v>7.0348100769340172E-2</v>
      </c>
    </row>
  </sheetData>
  <conditionalFormatting sqref="C34:G34">
    <cfRule type="expression" dxfId="45" priority="7">
      <formula>ABS(C34)&gt;0.1</formula>
    </cfRule>
  </conditionalFormatting>
  <conditionalFormatting sqref="L12:O12">
    <cfRule type="expression" dxfId="38" priority="1">
      <formula>ABS(L12)&gt;0.01</formula>
    </cfRule>
  </conditionalFormatting>
  <conditionalFormatting sqref="L19:O19">
    <cfRule type="expression" dxfId="37" priority="2">
      <formula>ABS(L19)&gt;0.01</formula>
    </cfRule>
  </conditionalFormatting>
  <conditionalFormatting sqref="L24:O24">
    <cfRule type="expression" dxfId="36" priority="3">
      <formula>ABS(L24)&gt;0.01</formula>
    </cfRule>
  </conditionalFormatting>
  <conditionalFormatting sqref="L29:O29">
    <cfRule type="expression" dxfId="35" priority="4">
      <formula>ABS(L29)&gt;0.01</formula>
    </cfRule>
  </conditionalFormatting>
  <conditionalFormatting sqref="L34:O34">
    <cfRule type="expression" dxfId="34" priority="5">
      <formula>ABS(L34)&gt;0.01</formula>
    </cfRule>
  </conditionalFormatting>
  <conditionalFormatting sqref="L53:O53">
    <cfRule type="expression" dxfId="33" priority="6">
      <formula>ABS(L53)&gt;0.01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48"/>
  <sheetViews>
    <sheetView workbookViewId="0"/>
  </sheetViews>
  <sheetFormatPr defaultRowHeight="14.5" x14ac:dyDescent="0.35"/>
  <cols>
    <col min="1" max="1" width="90.81640625" style="11" customWidth="1"/>
    <col min="2" max="2" width="27.54296875" style="11" customWidth="1"/>
    <col min="3" max="3" width="9.6328125" style="11" customWidth="1"/>
    <col min="4" max="16384" width="8.7265625" style="11"/>
  </cols>
  <sheetData>
    <row r="1" spans="1:3" x14ac:dyDescent="0.35">
      <c r="A1" s="34" t="s">
        <v>94</v>
      </c>
      <c r="B1" s="35"/>
      <c r="C1" s="35"/>
    </row>
    <row r="2" spans="1:3" x14ac:dyDescent="0.35">
      <c r="A2" s="36" t="s">
        <v>95</v>
      </c>
      <c r="B2" s="37" t="s">
        <v>487</v>
      </c>
      <c r="C2"/>
    </row>
    <row r="3" spans="1:3" x14ac:dyDescent="0.35">
      <c r="A3" s="36" t="s">
        <v>97</v>
      </c>
      <c r="B3" s="36" t="s">
        <v>98</v>
      </c>
      <c r="C3"/>
    </row>
    <row r="4" spans="1:3" x14ac:dyDescent="0.35">
      <c r="A4" s="36" t="s">
        <v>99</v>
      </c>
      <c r="B4" s="36" t="s">
        <v>98</v>
      </c>
      <c r="C4"/>
    </row>
    <row r="5" spans="1:3" x14ac:dyDescent="0.35">
      <c r="A5" s="36" t="s">
        <v>100</v>
      </c>
      <c r="B5" s="36" t="s">
        <v>488</v>
      </c>
      <c r="C5"/>
    </row>
    <row r="6" spans="1:3" x14ac:dyDescent="0.35">
      <c r="A6" s="36" t="s">
        <v>101</v>
      </c>
      <c r="B6" s="36" t="s">
        <v>102</v>
      </c>
      <c r="C6"/>
    </row>
    <row r="7" spans="1:3" x14ac:dyDescent="0.35">
      <c r="A7" s="36" t="s">
        <v>103</v>
      </c>
      <c r="B7" s="36" t="s">
        <v>104</v>
      </c>
      <c r="C7"/>
    </row>
    <row r="8" spans="1:3" x14ac:dyDescent="0.35">
      <c r="A8" s="36" t="s">
        <v>105</v>
      </c>
      <c r="B8" s="36" t="s">
        <v>106</v>
      </c>
      <c r="C8"/>
    </row>
    <row r="9" spans="1:3" x14ac:dyDescent="0.35">
      <c r="A9" s="36" t="s">
        <v>107</v>
      </c>
      <c r="B9" s="36" t="s">
        <v>108</v>
      </c>
      <c r="C9"/>
    </row>
    <row r="10" spans="1:3" x14ac:dyDescent="0.35">
      <c r="A10" s="36" t="s">
        <v>109</v>
      </c>
      <c r="B10" s="38">
        <v>46295.6061404051</v>
      </c>
      <c r="C10"/>
    </row>
    <row r="11" spans="1:3" x14ac:dyDescent="0.35">
      <c r="A11" s="39" t="s">
        <v>110</v>
      </c>
      <c r="B11" s="40" t="s">
        <v>111</v>
      </c>
      <c r="C11" s="40" t="s">
        <v>112</v>
      </c>
    </row>
    <row r="12" spans="1:3" x14ac:dyDescent="0.35">
      <c r="A12" s="41" t="s">
        <v>113</v>
      </c>
      <c r="B12" s="42">
        <v>45657</v>
      </c>
      <c r="C12" s="42">
        <v>46022</v>
      </c>
    </row>
    <row r="13" spans="1:3" x14ac:dyDescent="0.35">
      <c r="A13" s="41" t="s">
        <v>114</v>
      </c>
      <c r="B13" s="42" t="s">
        <v>115</v>
      </c>
      <c r="C13" s="42" t="s">
        <v>115</v>
      </c>
    </row>
    <row r="14" spans="1:3" x14ac:dyDescent="0.35">
      <c r="A14" s="43" t="s">
        <v>116</v>
      </c>
      <c r="B14" s="39"/>
      <c r="C14" s="39"/>
    </row>
    <row r="15" spans="1:3" x14ac:dyDescent="0.35">
      <c r="A15" s="43" t="s">
        <v>117</v>
      </c>
      <c r="B15" s="44" t="s">
        <v>118</v>
      </c>
      <c r="C15" s="44" t="s">
        <v>119</v>
      </c>
    </row>
    <row r="16" spans="1:3" x14ac:dyDescent="0.35">
      <c r="A16" s="45" t="s">
        <v>120</v>
      </c>
      <c r="B16" s="46"/>
      <c r="C16" s="46"/>
    </row>
    <row r="17" spans="1:3" x14ac:dyDescent="0.35">
      <c r="A17" s="47" t="s">
        <v>121</v>
      </c>
      <c r="B17" s="48">
        <v>1843</v>
      </c>
      <c r="C17" s="48">
        <v>2141</v>
      </c>
    </row>
    <row r="18" spans="1:3" x14ac:dyDescent="0.35">
      <c r="A18" s="49" t="s">
        <v>12</v>
      </c>
      <c r="B18" s="48">
        <v>1702</v>
      </c>
      <c r="C18" s="48">
        <v>1980</v>
      </c>
    </row>
    <row r="19" spans="1:3" x14ac:dyDescent="0.35">
      <c r="A19" s="49" t="s">
        <v>14</v>
      </c>
      <c r="B19" s="48">
        <v>141</v>
      </c>
      <c r="C19" s="48">
        <v>161</v>
      </c>
    </row>
    <row r="20" spans="1:3" x14ac:dyDescent="0.35">
      <c r="A20" s="47" t="s">
        <v>122</v>
      </c>
      <c r="B20" s="48">
        <v>3240</v>
      </c>
      <c r="C20" s="48">
        <v>3427</v>
      </c>
    </row>
    <row r="21" spans="1:3" x14ac:dyDescent="0.35">
      <c r="A21" s="49" t="s">
        <v>16</v>
      </c>
      <c r="B21" s="48">
        <v>3204</v>
      </c>
      <c r="C21" s="48">
        <v>3400</v>
      </c>
    </row>
    <row r="22" spans="1:3" x14ac:dyDescent="0.35">
      <c r="A22" s="49" t="s">
        <v>123</v>
      </c>
      <c r="B22" s="48">
        <v>3246</v>
      </c>
      <c r="C22" s="48">
        <v>3451</v>
      </c>
    </row>
    <row r="23" spans="1:3" x14ac:dyDescent="0.35">
      <c r="A23" s="49" t="s">
        <v>124</v>
      </c>
      <c r="B23" s="51">
        <v>42</v>
      </c>
      <c r="C23" s="51">
        <v>51</v>
      </c>
    </row>
    <row r="24" spans="1:3" x14ac:dyDescent="0.35">
      <c r="A24" s="49" t="s">
        <v>454</v>
      </c>
      <c r="B24" s="51">
        <v>36</v>
      </c>
      <c r="C24" s="51">
        <v>27</v>
      </c>
    </row>
    <row r="25" spans="1:3" x14ac:dyDescent="0.35">
      <c r="A25" s="47" t="s">
        <v>127</v>
      </c>
      <c r="B25" s="48">
        <v>154</v>
      </c>
      <c r="C25" s="48">
        <v>162</v>
      </c>
    </row>
    <row r="26" spans="1:3" x14ac:dyDescent="0.35">
      <c r="A26" s="47" t="s">
        <v>410</v>
      </c>
      <c r="B26" s="48">
        <v>592</v>
      </c>
      <c r="C26" s="48">
        <v>519</v>
      </c>
    </row>
    <row r="27" spans="1:3" x14ac:dyDescent="0.35">
      <c r="A27" s="49" t="s">
        <v>20</v>
      </c>
      <c r="B27" s="48">
        <v>592</v>
      </c>
      <c r="C27" s="48">
        <v>519</v>
      </c>
    </row>
    <row r="28" spans="1:3" x14ac:dyDescent="0.35">
      <c r="A28" s="52" t="s">
        <v>22</v>
      </c>
      <c r="B28" s="58">
        <v>5829</v>
      </c>
      <c r="C28" s="58">
        <v>6249</v>
      </c>
    </row>
    <row r="29" spans="1:3" x14ac:dyDescent="0.35">
      <c r="A29" s="45" t="s">
        <v>128</v>
      </c>
      <c r="B29" s="46"/>
      <c r="C29" s="46"/>
    </row>
    <row r="30" spans="1:3" x14ac:dyDescent="0.35">
      <c r="A30" s="47" t="s">
        <v>25</v>
      </c>
      <c r="B30" s="48">
        <v>108</v>
      </c>
      <c r="C30" s="48">
        <v>108</v>
      </c>
    </row>
    <row r="31" spans="1:3" x14ac:dyDescent="0.35">
      <c r="A31" s="49" t="s">
        <v>129</v>
      </c>
      <c r="B31" s="48">
        <v>108</v>
      </c>
      <c r="C31" s="48">
        <v>108</v>
      </c>
    </row>
    <row r="32" spans="1:3" x14ac:dyDescent="0.35">
      <c r="A32" s="47" t="s">
        <v>130</v>
      </c>
      <c r="B32" s="48">
        <v>266</v>
      </c>
      <c r="C32" s="48">
        <v>324</v>
      </c>
    </row>
    <row r="33" spans="1:3" x14ac:dyDescent="0.35">
      <c r="A33" s="47" t="s">
        <v>27</v>
      </c>
      <c r="B33" s="48">
        <v>773</v>
      </c>
      <c r="C33" s="48">
        <v>823</v>
      </c>
    </row>
    <row r="34" spans="1:3" x14ac:dyDescent="0.35">
      <c r="A34" s="49" t="s">
        <v>133</v>
      </c>
      <c r="B34" s="48">
        <v>773</v>
      </c>
      <c r="C34" s="48">
        <v>823</v>
      </c>
    </row>
    <row r="35" spans="1:3" x14ac:dyDescent="0.35">
      <c r="A35" s="49" t="s">
        <v>134</v>
      </c>
      <c r="B35" s="48">
        <v>1592</v>
      </c>
      <c r="C35" s="48">
        <v>1728</v>
      </c>
    </row>
    <row r="36" spans="1:3" x14ac:dyDescent="0.35">
      <c r="A36" s="49" t="s">
        <v>135</v>
      </c>
      <c r="B36" s="48">
        <v>1592</v>
      </c>
      <c r="C36" s="48">
        <v>1728</v>
      </c>
    </row>
    <row r="37" spans="1:3" x14ac:dyDescent="0.35">
      <c r="A37" s="49" t="s">
        <v>458</v>
      </c>
      <c r="B37" s="48">
        <v>367</v>
      </c>
      <c r="C37" s="48">
        <v>385</v>
      </c>
    </row>
    <row r="38" spans="1:3" x14ac:dyDescent="0.35">
      <c r="A38" s="49" t="s">
        <v>447</v>
      </c>
      <c r="B38" s="48">
        <v>925</v>
      </c>
      <c r="C38" s="48">
        <v>991</v>
      </c>
    </row>
    <row r="39" spans="1:3" x14ac:dyDescent="0.35">
      <c r="A39" s="49" t="s">
        <v>461</v>
      </c>
      <c r="B39" s="51">
        <v>85</v>
      </c>
      <c r="C39" s="51">
        <v>88</v>
      </c>
    </row>
    <row r="40" spans="1:3" x14ac:dyDescent="0.35">
      <c r="A40" s="49" t="s">
        <v>136</v>
      </c>
      <c r="B40" s="48">
        <v>238</v>
      </c>
      <c r="C40" s="48">
        <v>290</v>
      </c>
    </row>
    <row r="41" spans="1:3" x14ac:dyDescent="0.35">
      <c r="A41" s="49" t="s">
        <v>137</v>
      </c>
      <c r="B41" s="48">
        <v>238</v>
      </c>
      <c r="C41" s="48">
        <v>290</v>
      </c>
    </row>
    <row r="42" spans="1:3" x14ac:dyDescent="0.35">
      <c r="A42" s="49" t="s">
        <v>138</v>
      </c>
      <c r="B42" s="51">
        <v>62</v>
      </c>
      <c r="C42" s="51">
        <v>62</v>
      </c>
    </row>
    <row r="43" spans="1:3" x14ac:dyDescent="0.35">
      <c r="A43" s="49" t="s">
        <v>139</v>
      </c>
      <c r="B43" s="48">
        <v>819</v>
      </c>
      <c r="C43" s="48">
        <v>905</v>
      </c>
    </row>
    <row r="44" spans="1:3" x14ac:dyDescent="0.35">
      <c r="A44" s="49" t="s">
        <v>140</v>
      </c>
      <c r="B44" s="48">
        <v>819</v>
      </c>
      <c r="C44" s="48">
        <v>905</v>
      </c>
    </row>
    <row r="45" spans="1:3" x14ac:dyDescent="0.35">
      <c r="A45" s="47" t="s">
        <v>141</v>
      </c>
      <c r="B45" s="48">
        <v>714</v>
      </c>
      <c r="C45" s="48">
        <v>862</v>
      </c>
    </row>
    <row r="46" spans="1:3" x14ac:dyDescent="0.35">
      <c r="A46" s="49" t="s">
        <v>419</v>
      </c>
      <c r="B46" s="48">
        <v>194</v>
      </c>
      <c r="C46" s="48">
        <v>357</v>
      </c>
    </row>
    <row r="47" spans="1:3" x14ac:dyDescent="0.35">
      <c r="A47" s="49" t="s">
        <v>31</v>
      </c>
      <c r="B47" s="48">
        <v>520</v>
      </c>
      <c r="C47" s="48">
        <v>505</v>
      </c>
    </row>
    <row r="48" spans="1:3" x14ac:dyDescent="0.35">
      <c r="A48" s="47" t="s">
        <v>29</v>
      </c>
      <c r="B48" s="50">
        <v>19209</v>
      </c>
      <c r="C48" s="50">
        <v>21578</v>
      </c>
    </row>
    <row r="49" spans="1:3" x14ac:dyDescent="0.35">
      <c r="A49" s="49" t="s">
        <v>421</v>
      </c>
      <c r="B49" s="50">
        <v>14710</v>
      </c>
      <c r="C49" s="50">
        <v>16616</v>
      </c>
    </row>
    <row r="50" spans="1:3" x14ac:dyDescent="0.35">
      <c r="A50" s="49" t="s">
        <v>464</v>
      </c>
      <c r="B50" s="48">
        <v>4499</v>
      </c>
      <c r="C50" s="48">
        <v>4962</v>
      </c>
    </row>
    <row r="51" spans="1:3" x14ac:dyDescent="0.35">
      <c r="A51" s="49" t="s">
        <v>489</v>
      </c>
      <c r="B51" s="48">
        <v>1556</v>
      </c>
      <c r="C51" s="48">
        <v>1684</v>
      </c>
    </row>
    <row r="52" spans="1:3" x14ac:dyDescent="0.35">
      <c r="A52" s="49" t="s">
        <v>490</v>
      </c>
      <c r="B52" s="48">
        <v>189</v>
      </c>
      <c r="C52" s="48">
        <v>164</v>
      </c>
    </row>
    <row r="53" spans="1:3" x14ac:dyDescent="0.35">
      <c r="A53" s="49" t="s">
        <v>491</v>
      </c>
      <c r="B53" s="48">
        <v>2754</v>
      </c>
      <c r="C53" s="48">
        <v>3114</v>
      </c>
    </row>
    <row r="54" spans="1:3" x14ac:dyDescent="0.35">
      <c r="A54" s="52" t="s">
        <v>33</v>
      </c>
      <c r="B54" s="53">
        <v>21070</v>
      </c>
      <c r="C54" s="53">
        <v>23695</v>
      </c>
    </row>
    <row r="55" spans="1:3" x14ac:dyDescent="0.35">
      <c r="A55" s="45" t="s">
        <v>35</v>
      </c>
      <c r="B55" s="46"/>
      <c r="C55" s="46"/>
    </row>
    <row r="56" spans="1:3" x14ac:dyDescent="0.35">
      <c r="A56" s="52" t="s">
        <v>35</v>
      </c>
      <c r="B56" s="53">
        <v>26899</v>
      </c>
      <c r="C56" s="53">
        <v>29944</v>
      </c>
    </row>
    <row r="57" spans="1:3" x14ac:dyDescent="0.35">
      <c r="A57" s="45" t="s">
        <v>143</v>
      </c>
      <c r="B57" s="46"/>
      <c r="C57" s="46"/>
    </row>
    <row r="58" spans="1:3" x14ac:dyDescent="0.35">
      <c r="A58" s="47" t="s">
        <v>144</v>
      </c>
      <c r="B58" s="48">
        <v>3244</v>
      </c>
      <c r="C58" s="48">
        <v>3242</v>
      </c>
    </row>
    <row r="59" spans="1:3" x14ac:dyDescent="0.35">
      <c r="A59" s="49" t="s">
        <v>37</v>
      </c>
      <c r="B59" s="48">
        <v>736</v>
      </c>
      <c r="C59" s="48">
        <v>780</v>
      </c>
    </row>
    <row r="60" spans="1:3" x14ac:dyDescent="0.35">
      <c r="A60" s="49" t="s">
        <v>145</v>
      </c>
      <c r="B60" s="48">
        <v>2508</v>
      </c>
      <c r="C60" s="48">
        <v>2462</v>
      </c>
    </row>
    <row r="61" spans="1:3" x14ac:dyDescent="0.35">
      <c r="A61" s="47" t="s">
        <v>39</v>
      </c>
      <c r="B61" s="48">
        <v>1151</v>
      </c>
      <c r="C61" s="48">
        <v>1846</v>
      </c>
    </row>
    <row r="62" spans="1:3" x14ac:dyDescent="0.35">
      <c r="A62" s="49" t="s">
        <v>146</v>
      </c>
      <c r="B62" s="48">
        <v>1151</v>
      </c>
      <c r="C62" s="48">
        <v>1846</v>
      </c>
    </row>
    <row r="63" spans="1:3" x14ac:dyDescent="0.35">
      <c r="A63" s="49" t="s">
        <v>147</v>
      </c>
      <c r="B63" s="48">
        <v>1145</v>
      </c>
      <c r="C63" s="48">
        <v>1840</v>
      </c>
    </row>
    <row r="64" spans="1:3" x14ac:dyDescent="0.35">
      <c r="A64" s="49" t="s">
        <v>148</v>
      </c>
      <c r="B64" s="51">
        <v>6</v>
      </c>
      <c r="C64" s="51">
        <v>6</v>
      </c>
    </row>
    <row r="65" spans="1:3" x14ac:dyDescent="0.35">
      <c r="A65" s="47" t="s">
        <v>149</v>
      </c>
      <c r="B65" s="48">
        <v>156</v>
      </c>
      <c r="C65" s="48">
        <v>140</v>
      </c>
    </row>
    <row r="66" spans="1:3" x14ac:dyDescent="0.35">
      <c r="A66" s="47" t="s">
        <v>150</v>
      </c>
      <c r="B66" s="51">
        <v>99</v>
      </c>
      <c r="C66" s="51">
        <v>93</v>
      </c>
    </row>
    <row r="67" spans="1:3" x14ac:dyDescent="0.35">
      <c r="A67" s="47" t="s">
        <v>423</v>
      </c>
      <c r="B67" s="48">
        <v>2307</v>
      </c>
      <c r="C67" s="48">
        <v>3017</v>
      </c>
    </row>
    <row r="68" spans="1:3" x14ac:dyDescent="0.35">
      <c r="A68" s="49" t="s">
        <v>465</v>
      </c>
      <c r="B68" s="48">
        <v>1779</v>
      </c>
      <c r="C68" s="48">
        <v>2118</v>
      </c>
    </row>
    <row r="69" spans="1:3" x14ac:dyDescent="0.35">
      <c r="A69" s="49" t="s">
        <v>41</v>
      </c>
      <c r="B69" s="48">
        <v>528</v>
      </c>
      <c r="C69" s="48">
        <v>899</v>
      </c>
    </row>
    <row r="70" spans="1:3" x14ac:dyDescent="0.35">
      <c r="A70" s="52" t="s">
        <v>43</v>
      </c>
      <c r="B70" s="58">
        <v>6957</v>
      </c>
      <c r="C70" s="58">
        <v>8338</v>
      </c>
    </row>
    <row r="71" spans="1:3" x14ac:dyDescent="0.35">
      <c r="A71" s="45" t="s">
        <v>151</v>
      </c>
      <c r="B71" s="46"/>
      <c r="C71" s="46"/>
    </row>
    <row r="72" spans="1:3" x14ac:dyDescent="0.35">
      <c r="A72" s="47" t="s">
        <v>45</v>
      </c>
      <c r="B72" s="50">
        <v>13056</v>
      </c>
      <c r="C72" s="50">
        <v>14096</v>
      </c>
    </row>
    <row r="73" spans="1:3" x14ac:dyDescent="0.35">
      <c r="A73" s="49" t="s">
        <v>152</v>
      </c>
      <c r="B73" s="50">
        <v>12838</v>
      </c>
      <c r="C73" s="50">
        <v>13884</v>
      </c>
    </row>
    <row r="74" spans="1:3" x14ac:dyDescent="0.35">
      <c r="A74" s="49" t="s">
        <v>153</v>
      </c>
      <c r="B74" s="50">
        <v>12838</v>
      </c>
      <c r="C74" s="50">
        <v>13884</v>
      </c>
    </row>
    <row r="75" spans="1:3" x14ac:dyDescent="0.35">
      <c r="A75" s="49" t="s">
        <v>154</v>
      </c>
      <c r="B75" s="48">
        <v>218</v>
      </c>
      <c r="C75" s="48">
        <v>212</v>
      </c>
    </row>
    <row r="76" spans="1:3" x14ac:dyDescent="0.35">
      <c r="A76" s="47" t="s">
        <v>155</v>
      </c>
      <c r="B76" s="48">
        <v>196</v>
      </c>
      <c r="C76" s="48">
        <v>179</v>
      </c>
    </row>
    <row r="77" spans="1:3" x14ac:dyDescent="0.35">
      <c r="A77" s="49" t="s">
        <v>156</v>
      </c>
      <c r="B77" s="48">
        <v>196</v>
      </c>
      <c r="C77" s="48">
        <v>179</v>
      </c>
    </row>
    <row r="78" spans="1:3" x14ac:dyDescent="0.35">
      <c r="A78" s="47" t="s">
        <v>157</v>
      </c>
      <c r="B78" s="48">
        <v>173</v>
      </c>
      <c r="C78" s="48">
        <v>225</v>
      </c>
    </row>
    <row r="79" spans="1:3" x14ac:dyDescent="0.35">
      <c r="A79" s="47" t="s">
        <v>158</v>
      </c>
      <c r="B79" s="48">
        <v>450</v>
      </c>
      <c r="C79" s="48">
        <v>476</v>
      </c>
    </row>
    <row r="80" spans="1:3" x14ac:dyDescent="0.35">
      <c r="A80" s="49" t="s">
        <v>47</v>
      </c>
      <c r="B80" s="48">
        <v>450</v>
      </c>
      <c r="C80" s="48">
        <v>476</v>
      </c>
    </row>
    <row r="81" spans="1:3" x14ac:dyDescent="0.35">
      <c r="A81" s="47" t="s">
        <v>49</v>
      </c>
      <c r="B81" s="50">
        <v>13875</v>
      </c>
      <c r="C81" s="50">
        <v>14976</v>
      </c>
    </row>
    <row r="82" spans="1:3" x14ac:dyDescent="0.35">
      <c r="A82" s="45" t="s">
        <v>51</v>
      </c>
      <c r="B82" s="46"/>
      <c r="C82" s="46"/>
    </row>
    <row r="83" spans="1:3" x14ac:dyDescent="0.35">
      <c r="A83" s="52" t="s">
        <v>51</v>
      </c>
      <c r="B83" s="53">
        <v>20832</v>
      </c>
      <c r="C83" s="53">
        <v>23314</v>
      </c>
    </row>
    <row r="84" spans="1:3" x14ac:dyDescent="0.35">
      <c r="A84" s="45" t="s">
        <v>162</v>
      </c>
      <c r="B84" s="46"/>
      <c r="C84" s="46"/>
    </row>
    <row r="85" spans="1:3" x14ac:dyDescent="0.35">
      <c r="A85" s="47" t="s">
        <v>163</v>
      </c>
      <c r="B85" s="48">
        <v>6067</v>
      </c>
      <c r="C85" s="48">
        <v>6503</v>
      </c>
    </row>
    <row r="86" spans="1:3" x14ac:dyDescent="0.35">
      <c r="A86" s="49" t="s">
        <v>164</v>
      </c>
      <c r="B86" s="48">
        <v>6067</v>
      </c>
      <c r="C86" s="48">
        <v>6503</v>
      </c>
    </row>
    <row r="87" spans="1:3" x14ac:dyDescent="0.35">
      <c r="A87" s="49" t="s">
        <v>165</v>
      </c>
      <c r="B87" s="50">
        <v>10103</v>
      </c>
      <c r="C87" s="50">
        <v>11357</v>
      </c>
    </row>
    <row r="88" spans="1:3" x14ac:dyDescent="0.35">
      <c r="A88" s="49" t="s">
        <v>166</v>
      </c>
      <c r="B88" s="50">
        <v>11143</v>
      </c>
      <c r="C88" s="50">
        <v>11378</v>
      </c>
    </row>
    <row r="89" spans="1:3" x14ac:dyDescent="0.35">
      <c r="A89" s="49" t="s">
        <v>167</v>
      </c>
      <c r="B89" s="51">
        <v>3</v>
      </c>
      <c r="C89" s="51">
        <v>3</v>
      </c>
    </row>
    <row r="90" spans="1:3" x14ac:dyDescent="0.35">
      <c r="A90" s="49" t="s">
        <v>168</v>
      </c>
      <c r="B90" s="50">
        <v>11140</v>
      </c>
      <c r="C90" s="50">
        <v>11375</v>
      </c>
    </row>
    <row r="91" spans="1:3" x14ac:dyDescent="0.35">
      <c r="A91" s="49" t="s">
        <v>169</v>
      </c>
      <c r="B91" s="48">
        <v>5027</v>
      </c>
      <c r="C91" s="48">
        <v>6482</v>
      </c>
    </row>
    <row r="92" spans="1:3" x14ac:dyDescent="0.35">
      <c r="A92" s="49" t="s">
        <v>170</v>
      </c>
      <c r="B92" s="48">
        <v>6065</v>
      </c>
      <c r="C92" s="48">
        <v>7425</v>
      </c>
    </row>
    <row r="93" spans="1:3" x14ac:dyDescent="0.35">
      <c r="A93" s="49" t="s">
        <v>171</v>
      </c>
      <c r="B93" s="54">
        <v>-1038</v>
      </c>
      <c r="C93" s="54">
        <v>-943</v>
      </c>
    </row>
    <row r="94" spans="1:3" x14ac:dyDescent="0.35">
      <c r="A94" s="49" t="s">
        <v>173</v>
      </c>
      <c r="B94" s="55">
        <v>-5</v>
      </c>
      <c r="C94" s="55">
        <v>-43</v>
      </c>
    </row>
    <row r="95" spans="1:3" x14ac:dyDescent="0.35">
      <c r="A95" s="49" t="s">
        <v>174</v>
      </c>
      <c r="B95" s="54">
        <v>-1092</v>
      </c>
      <c r="C95" s="54">
        <v>-1126</v>
      </c>
    </row>
    <row r="96" spans="1:3" x14ac:dyDescent="0.35">
      <c r="A96" s="49" t="s">
        <v>175</v>
      </c>
      <c r="B96" s="51">
        <v>15</v>
      </c>
      <c r="C96" s="51">
        <v>40</v>
      </c>
    </row>
    <row r="97" spans="1:3" x14ac:dyDescent="0.35">
      <c r="A97" s="49" t="s">
        <v>492</v>
      </c>
      <c r="B97" s="51">
        <v>44</v>
      </c>
      <c r="C97" s="48">
        <v>186</v>
      </c>
    </row>
    <row r="98" spans="1:3" x14ac:dyDescent="0.35">
      <c r="A98" s="49" t="s">
        <v>53</v>
      </c>
      <c r="B98" s="48">
        <v>6067</v>
      </c>
      <c r="C98" s="48">
        <v>6503</v>
      </c>
    </row>
    <row r="99" spans="1:3" x14ac:dyDescent="0.35">
      <c r="A99" s="47" t="s">
        <v>428</v>
      </c>
      <c r="B99" s="50"/>
      <c r="C99" s="48">
        <v>127</v>
      </c>
    </row>
    <row r="100" spans="1:3" x14ac:dyDescent="0.35">
      <c r="A100" s="45" t="s">
        <v>176</v>
      </c>
      <c r="B100" s="46"/>
      <c r="C100" s="46"/>
    </row>
    <row r="101" spans="1:3" x14ac:dyDescent="0.35">
      <c r="A101" s="52" t="s">
        <v>57</v>
      </c>
      <c r="B101" s="58">
        <v>6067</v>
      </c>
      <c r="C101" s="58">
        <v>6630</v>
      </c>
    </row>
    <row r="102" spans="1:3" x14ac:dyDescent="0.35">
      <c r="A102" s="45" t="s">
        <v>177</v>
      </c>
      <c r="B102" s="46"/>
      <c r="C102" s="46"/>
    </row>
    <row r="103" spans="1:3" x14ac:dyDescent="0.35">
      <c r="A103" s="52" t="s">
        <v>60</v>
      </c>
      <c r="B103" s="53">
        <v>26899</v>
      </c>
      <c r="C103" s="53">
        <v>29944</v>
      </c>
    </row>
    <row r="104" spans="1:3" x14ac:dyDescent="0.35">
      <c r="A104" s="45" t="s">
        <v>178</v>
      </c>
      <c r="B104" s="46"/>
      <c r="C104" s="46"/>
    </row>
    <row r="105" spans="1:3" x14ac:dyDescent="0.35">
      <c r="A105" s="47" t="s">
        <v>179</v>
      </c>
      <c r="B105" s="48">
        <v>258.2</v>
      </c>
      <c r="C105" s="48">
        <v>259.10000000000002</v>
      </c>
    </row>
    <row r="106" spans="1:3" x14ac:dyDescent="0.35">
      <c r="A106" s="49" t="s">
        <v>180</v>
      </c>
      <c r="B106" s="48">
        <v>176.1</v>
      </c>
      <c r="C106" s="48">
        <v>169.6</v>
      </c>
    </row>
    <row r="107" spans="1:3" x14ac:dyDescent="0.35">
      <c r="A107" s="49" t="s">
        <v>181</v>
      </c>
      <c r="B107" s="51">
        <v>82.1</v>
      </c>
      <c r="C107" s="51">
        <v>89.5</v>
      </c>
    </row>
    <row r="108" spans="1:3" x14ac:dyDescent="0.35">
      <c r="A108" s="47" t="s">
        <v>182</v>
      </c>
      <c r="B108" s="48">
        <v>400</v>
      </c>
      <c r="C108" s="48">
        <v>400</v>
      </c>
    </row>
    <row r="109" spans="1:3" x14ac:dyDescent="0.35">
      <c r="A109" s="47" t="s">
        <v>183</v>
      </c>
      <c r="B109" s="48">
        <v>258.2</v>
      </c>
      <c r="C109" s="48">
        <v>259.10000000000002</v>
      </c>
    </row>
    <row r="110" spans="1:3" x14ac:dyDescent="0.35">
      <c r="A110" s="49" t="s">
        <v>184</v>
      </c>
      <c r="B110" s="48">
        <v>176.1</v>
      </c>
      <c r="C110" s="48">
        <v>169.6</v>
      </c>
    </row>
    <row r="111" spans="1:3" x14ac:dyDescent="0.35">
      <c r="A111" s="49" t="s">
        <v>185</v>
      </c>
      <c r="B111" s="51">
        <v>82.1</v>
      </c>
      <c r="C111" s="51">
        <v>89.5</v>
      </c>
    </row>
    <row r="112" spans="1:3" x14ac:dyDescent="0.35">
      <c r="A112" s="45" t="s">
        <v>186</v>
      </c>
      <c r="B112" s="46"/>
      <c r="C112" s="46"/>
    </row>
    <row r="113" spans="1:3" x14ac:dyDescent="0.35">
      <c r="A113" s="47" t="s">
        <v>187</v>
      </c>
      <c r="B113" s="51">
        <v>1</v>
      </c>
      <c r="C113" s="51">
        <v>1</v>
      </c>
    </row>
    <row r="114" spans="1:3" x14ac:dyDescent="0.35">
      <c r="A114" s="45" t="s">
        <v>188</v>
      </c>
      <c r="B114" s="46"/>
      <c r="C114" s="46"/>
    </row>
    <row r="115" spans="1:3" x14ac:dyDescent="0.35">
      <c r="A115" s="47" t="s">
        <v>189</v>
      </c>
      <c r="B115" s="48">
        <v>238</v>
      </c>
      <c r="C115" s="48">
        <v>290</v>
      </c>
    </row>
    <row r="116" spans="1:3" x14ac:dyDescent="0.35">
      <c r="A116" s="49" t="s">
        <v>190</v>
      </c>
      <c r="B116" s="48">
        <v>238</v>
      </c>
      <c r="C116" s="48">
        <v>290</v>
      </c>
    </row>
    <row r="117" spans="1:3" x14ac:dyDescent="0.35">
      <c r="A117" s="47" t="s">
        <v>192</v>
      </c>
      <c r="B117" s="48">
        <v>535</v>
      </c>
      <c r="C117" s="48">
        <v>533</v>
      </c>
    </row>
    <row r="118" spans="1:3" x14ac:dyDescent="0.35">
      <c r="A118" s="45" t="s">
        <v>193</v>
      </c>
      <c r="B118" s="46"/>
      <c r="C118" s="46"/>
    </row>
    <row r="119" spans="1:3" x14ac:dyDescent="0.35">
      <c r="A119" s="47" t="s">
        <v>194</v>
      </c>
      <c r="B119" s="48">
        <v>272</v>
      </c>
      <c r="C119" s="48">
        <v>318</v>
      </c>
    </row>
    <row r="120" spans="1:3" x14ac:dyDescent="0.35">
      <c r="A120" s="49" t="s">
        <v>195</v>
      </c>
      <c r="B120" s="51">
        <v>99</v>
      </c>
      <c r="C120" s="51">
        <v>93</v>
      </c>
    </row>
    <row r="121" spans="1:3" x14ac:dyDescent="0.35">
      <c r="A121" s="49" t="s">
        <v>196</v>
      </c>
      <c r="B121" s="48">
        <v>173</v>
      </c>
      <c r="C121" s="48">
        <v>225</v>
      </c>
    </row>
    <row r="122" spans="1:3" x14ac:dyDescent="0.35">
      <c r="A122" s="47" t="s">
        <v>197</v>
      </c>
      <c r="B122" s="48">
        <v>496</v>
      </c>
      <c r="C122" s="48">
        <v>536</v>
      </c>
    </row>
    <row r="123" spans="1:3" x14ac:dyDescent="0.35">
      <c r="A123" s="47" t="s">
        <v>198</v>
      </c>
      <c r="B123" s="50">
        <v>14479</v>
      </c>
      <c r="C123" s="50">
        <v>16260</v>
      </c>
    </row>
    <row r="124" spans="1:3" x14ac:dyDescent="0.35">
      <c r="A124" s="45" t="s">
        <v>199</v>
      </c>
      <c r="B124" s="46"/>
      <c r="C124" s="46"/>
    </row>
    <row r="125" spans="1:3" x14ac:dyDescent="0.35">
      <c r="A125" s="47" t="s">
        <v>200</v>
      </c>
      <c r="B125" s="48">
        <v>249</v>
      </c>
      <c r="C125" s="48">
        <v>269</v>
      </c>
    </row>
    <row r="126" spans="1:3" x14ac:dyDescent="0.35">
      <c r="A126" s="47" t="s">
        <v>201</v>
      </c>
      <c r="B126" s="48">
        <v>3240</v>
      </c>
      <c r="C126" s="48">
        <v>3427</v>
      </c>
    </row>
    <row r="127" spans="1:3" x14ac:dyDescent="0.35">
      <c r="A127" s="49" t="s">
        <v>202</v>
      </c>
      <c r="B127" s="48">
        <v>3246</v>
      </c>
      <c r="C127" s="48">
        <v>3451</v>
      </c>
    </row>
    <row r="128" spans="1:3" x14ac:dyDescent="0.35">
      <c r="A128" s="47" t="s">
        <v>203</v>
      </c>
      <c r="B128" s="48">
        <v>1306</v>
      </c>
      <c r="C128" s="48">
        <v>1381</v>
      </c>
    </row>
    <row r="129" spans="1:3" x14ac:dyDescent="0.35">
      <c r="A129" s="47" t="s">
        <v>204</v>
      </c>
      <c r="B129" s="48">
        <v>156</v>
      </c>
      <c r="C129" s="48">
        <v>140</v>
      </c>
    </row>
    <row r="130" spans="1:3" x14ac:dyDescent="0.35">
      <c r="A130" s="47" t="s">
        <v>205</v>
      </c>
      <c r="B130" s="48">
        <v>3244</v>
      </c>
      <c r="C130" s="48">
        <v>3242</v>
      </c>
    </row>
    <row r="131" spans="1:3" x14ac:dyDescent="0.35">
      <c r="A131" s="49" t="s">
        <v>206</v>
      </c>
      <c r="B131" s="48">
        <v>736</v>
      </c>
      <c r="C131" s="48">
        <v>780</v>
      </c>
    </row>
    <row r="132" spans="1:3" x14ac:dyDescent="0.35">
      <c r="A132" s="49" t="s">
        <v>207</v>
      </c>
      <c r="B132" s="48">
        <v>2508</v>
      </c>
      <c r="C132" s="48">
        <v>2462</v>
      </c>
    </row>
    <row r="133" spans="1:3" x14ac:dyDescent="0.35">
      <c r="A133" s="45" t="s">
        <v>208</v>
      </c>
      <c r="B133" s="46"/>
      <c r="C133" s="46"/>
    </row>
    <row r="134" spans="1:3" x14ac:dyDescent="0.35">
      <c r="A134" s="47" t="s">
        <v>209</v>
      </c>
      <c r="B134" s="50">
        <v>12364</v>
      </c>
      <c r="C134" s="50">
        <v>13801</v>
      </c>
    </row>
    <row r="135" spans="1:3" x14ac:dyDescent="0.35">
      <c r="A135" s="47" t="s">
        <v>210</v>
      </c>
      <c r="B135" s="50">
        <v>14207</v>
      </c>
      <c r="C135" s="50">
        <v>15942</v>
      </c>
    </row>
    <row r="136" spans="1:3" x14ac:dyDescent="0.35">
      <c r="A136" s="47" t="s">
        <v>211</v>
      </c>
      <c r="B136" s="48">
        <v>825</v>
      </c>
      <c r="C136" s="48">
        <v>800</v>
      </c>
    </row>
    <row r="137" spans="1:3" x14ac:dyDescent="0.35">
      <c r="A137" s="47" t="s">
        <v>212</v>
      </c>
      <c r="B137" s="48">
        <v>1175</v>
      </c>
      <c r="C137" s="48">
        <v>1195</v>
      </c>
    </row>
    <row r="138" spans="1:3" x14ac:dyDescent="0.35">
      <c r="A138" s="47" t="s">
        <v>213</v>
      </c>
      <c r="B138" s="48">
        <v>2000</v>
      </c>
      <c r="C138" s="48">
        <v>2000</v>
      </c>
    </row>
    <row r="139" spans="1:3" x14ac:dyDescent="0.35">
      <c r="A139" s="45" t="s">
        <v>214</v>
      </c>
      <c r="B139" s="46"/>
      <c r="C139" s="46"/>
    </row>
    <row r="140" spans="1:3" x14ac:dyDescent="0.35">
      <c r="A140" s="47" t="s">
        <v>215</v>
      </c>
      <c r="B140" s="50">
        <v>14045</v>
      </c>
      <c r="C140" s="50">
        <v>15800</v>
      </c>
    </row>
    <row r="141" spans="1:3" x14ac:dyDescent="0.35">
      <c r="A141" s="49" t="s">
        <v>216</v>
      </c>
      <c r="B141" s="48">
        <v>1145</v>
      </c>
      <c r="C141" s="48">
        <v>1840</v>
      </c>
    </row>
    <row r="142" spans="1:3" x14ac:dyDescent="0.35">
      <c r="A142" s="49" t="s">
        <v>217</v>
      </c>
      <c r="B142" s="48">
        <v>3904</v>
      </c>
      <c r="C142" s="48">
        <v>1794</v>
      </c>
    </row>
    <row r="143" spans="1:3" x14ac:dyDescent="0.35">
      <c r="A143" s="49" t="s">
        <v>218</v>
      </c>
      <c r="B143" s="48">
        <v>2634</v>
      </c>
      <c r="C143" s="48">
        <v>2574</v>
      </c>
    </row>
    <row r="144" spans="1:3" x14ac:dyDescent="0.35">
      <c r="A144" s="49" t="s">
        <v>219</v>
      </c>
      <c r="B144" s="48">
        <v>2252</v>
      </c>
      <c r="C144" s="48">
        <v>2451</v>
      </c>
    </row>
    <row r="145" spans="1:3" x14ac:dyDescent="0.35">
      <c r="A145" s="49" t="s">
        <v>220</v>
      </c>
      <c r="B145" s="48">
        <v>2200</v>
      </c>
      <c r="C145" s="48">
        <v>3275</v>
      </c>
    </row>
    <row r="146" spans="1:3" x14ac:dyDescent="0.35">
      <c r="A146" s="49" t="s">
        <v>431</v>
      </c>
      <c r="B146" s="48">
        <v>1910</v>
      </c>
      <c r="C146" s="48">
        <v>3866</v>
      </c>
    </row>
    <row r="147" spans="1:3" x14ac:dyDescent="0.35">
      <c r="A147" s="47" t="s">
        <v>221</v>
      </c>
      <c r="B147" s="48">
        <v>6538</v>
      </c>
      <c r="C147" s="48">
        <v>4368</v>
      </c>
    </row>
    <row r="148" spans="1:3" x14ac:dyDescent="0.35">
      <c r="A148" s="47" t="s">
        <v>222</v>
      </c>
      <c r="B148" s="48">
        <v>4452</v>
      </c>
      <c r="C148" s="48">
        <v>5726</v>
      </c>
    </row>
    <row r="149" spans="1:3" x14ac:dyDescent="0.35">
      <c r="A149" s="47" t="s">
        <v>432</v>
      </c>
      <c r="B149" s="48">
        <v>1910</v>
      </c>
      <c r="C149" s="48">
        <v>3866</v>
      </c>
    </row>
    <row r="150" spans="1:3" x14ac:dyDescent="0.35">
      <c r="A150" s="45" t="s">
        <v>223</v>
      </c>
      <c r="B150" s="46"/>
      <c r="C150" s="46"/>
    </row>
    <row r="151" spans="1:3" x14ac:dyDescent="0.35">
      <c r="A151" s="47" t="s">
        <v>224</v>
      </c>
      <c r="B151" s="48">
        <v>224</v>
      </c>
      <c r="C151" s="48">
        <v>218</v>
      </c>
    </row>
    <row r="152" spans="1:3" x14ac:dyDescent="0.35">
      <c r="A152" s="49" t="s">
        <v>225</v>
      </c>
      <c r="B152" s="51">
        <v>13</v>
      </c>
      <c r="C152" s="51">
        <v>13</v>
      </c>
    </row>
    <row r="153" spans="1:3" x14ac:dyDescent="0.35">
      <c r="A153" s="49" t="s">
        <v>226</v>
      </c>
      <c r="B153" s="51">
        <v>13</v>
      </c>
      <c r="C153" s="51">
        <v>14</v>
      </c>
    </row>
    <row r="154" spans="1:3" x14ac:dyDescent="0.35">
      <c r="A154" s="49" t="s">
        <v>227</v>
      </c>
      <c r="B154" s="51">
        <v>14</v>
      </c>
      <c r="C154" s="51">
        <v>14</v>
      </c>
    </row>
    <row r="155" spans="1:3" x14ac:dyDescent="0.35">
      <c r="A155" s="49" t="s">
        <v>228</v>
      </c>
      <c r="B155" s="51">
        <v>14</v>
      </c>
      <c r="C155" s="51">
        <v>14</v>
      </c>
    </row>
    <row r="156" spans="1:3" x14ac:dyDescent="0.35">
      <c r="A156" s="49" t="s">
        <v>229</v>
      </c>
      <c r="B156" s="51">
        <v>14</v>
      </c>
      <c r="C156" s="51">
        <v>15</v>
      </c>
    </row>
    <row r="157" spans="1:3" x14ac:dyDescent="0.35">
      <c r="A157" s="49" t="s">
        <v>230</v>
      </c>
      <c r="B157" s="48">
        <v>269</v>
      </c>
      <c r="C157" s="48">
        <v>256</v>
      </c>
    </row>
    <row r="158" spans="1:3" x14ac:dyDescent="0.35">
      <c r="A158" s="49" t="s">
        <v>231</v>
      </c>
      <c r="B158" s="48">
        <v>113</v>
      </c>
      <c r="C158" s="48">
        <v>108</v>
      </c>
    </row>
    <row r="159" spans="1:3" x14ac:dyDescent="0.35">
      <c r="A159" s="47" t="s">
        <v>232</v>
      </c>
      <c r="B159" s="51">
        <v>27</v>
      </c>
      <c r="C159" s="51">
        <v>28</v>
      </c>
    </row>
    <row r="160" spans="1:3" x14ac:dyDescent="0.35">
      <c r="A160" s="47" t="s">
        <v>233</v>
      </c>
      <c r="B160" s="51">
        <v>28</v>
      </c>
      <c r="C160" s="51">
        <v>29</v>
      </c>
    </row>
    <row r="161" spans="1:3" x14ac:dyDescent="0.35">
      <c r="A161" s="47" t="s">
        <v>234</v>
      </c>
      <c r="B161" s="48">
        <v>269</v>
      </c>
      <c r="C161" s="48">
        <v>256</v>
      </c>
    </row>
    <row r="162" spans="1:3" x14ac:dyDescent="0.35">
      <c r="A162" s="45" t="s">
        <v>235</v>
      </c>
      <c r="B162" s="46"/>
      <c r="C162" s="46"/>
    </row>
    <row r="163" spans="1:3" x14ac:dyDescent="0.35">
      <c r="A163" s="47" t="s">
        <v>236</v>
      </c>
      <c r="B163" s="51">
        <v>4.58</v>
      </c>
      <c r="C163" s="51">
        <v>5.35</v>
      </c>
    </row>
    <row r="164" spans="1:3" x14ac:dyDescent="0.35">
      <c r="A164" s="47" t="s">
        <v>237</v>
      </c>
      <c r="B164" s="51">
        <v>19.73</v>
      </c>
      <c r="C164" s="51">
        <v>18.739999999999998</v>
      </c>
    </row>
    <row r="165" spans="1:3" x14ac:dyDescent="0.35">
      <c r="A165" s="47" t="s">
        <v>238</v>
      </c>
      <c r="B165" s="56">
        <v>0</v>
      </c>
      <c r="C165" s="56">
        <v>0</v>
      </c>
    </row>
    <row r="166" spans="1:3" x14ac:dyDescent="0.35">
      <c r="A166" s="47" t="s">
        <v>239</v>
      </c>
      <c r="B166" s="56">
        <v>0</v>
      </c>
      <c r="C166" s="56">
        <v>0</v>
      </c>
    </row>
    <row r="167" spans="1:3" x14ac:dyDescent="0.35">
      <c r="A167" s="45" t="s">
        <v>82</v>
      </c>
      <c r="B167" s="46"/>
      <c r="C167" s="46"/>
    </row>
    <row r="168" spans="1:3" x14ac:dyDescent="0.35">
      <c r="A168" s="47" t="s">
        <v>433</v>
      </c>
      <c r="B168" s="50"/>
      <c r="C168" s="48">
        <v>127</v>
      </c>
    </row>
    <row r="169" spans="1:3" x14ac:dyDescent="0.35">
      <c r="A169" s="47" t="s">
        <v>240</v>
      </c>
      <c r="B169" s="54">
        <v>-2830</v>
      </c>
      <c r="C169" s="54">
        <v>-4069</v>
      </c>
    </row>
    <row r="170" spans="1:3" x14ac:dyDescent="0.35">
      <c r="A170" s="47" t="s">
        <v>241</v>
      </c>
      <c r="B170" s="50">
        <v>10487</v>
      </c>
      <c r="C170" s="50">
        <v>11348</v>
      </c>
    </row>
    <row r="171" spans="1:3" x14ac:dyDescent="0.35">
      <c r="A171" s="47" t="s">
        <v>242</v>
      </c>
      <c r="B171" s="48">
        <v>1702</v>
      </c>
      <c r="C171" s="48">
        <v>1980</v>
      </c>
    </row>
    <row r="172" spans="1:3" x14ac:dyDescent="0.35">
      <c r="A172" s="47" t="s">
        <v>243</v>
      </c>
      <c r="B172" s="48">
        <v>1843</v>
      </c>
      <c r="C172" s="48">
        <v>2141</v>
      </c>
    </row>
    <row r="173" spans="1:3" x14ac:dyDescent="0.35">
      <c r="A173" s="47" t="s">
        <v>244</v>
      </c>
      <c r="B173" s="50">
        <v>14207</v>
      </c>
      <c r="C173" s="50">
        <v>16069</v>
      </c>
    </row>
    <row r="174" spans="1:3" x14ac:dyDescent="0.35">
      <c r="A174" s="47" t="s">
        <v>245</v>
      </c>
      <c r="B174" s="48">
        <v>374</v>
      </c>
      <c r="C174" s="48">
        <v>432</v>
      </c>
    </row>
    <row r="175" spans="1:3" x14ac:dyDescent="0.35">
      <c r="A175" s="47" t="s">
        <v>246</v>
      </c>
      <c r="B175" s="50">
        <v>18431</v>
      </c>
      <c r="C175" s="50">
        <v>20431</v>
      </c>
    </row>
    <row r="176" spans="1:3" x14ac:dyDescent="0.35">
      <c r="A176" s="47" t="s">
        <v>247</v>
      </c>
      <c r="B176" s="50">
        <v>18431</v>
      </c>
      <c r="C176" s="50">
        <v>20431</v>
      </c>
    </row>
    <row r="177" spans="1:3" x14ac:dyDescent="0.35">
      <c r="A177" s="47" t="s">
        <v>248</v>
      </c>
      <c r="B177" s="48">
        <v>196</v>
      </c>
      <c r="C177" s="48">
        <v>179</v>
      </c>
    </row>
    <row r="178" spans="1:3" x14ac:dyDescent="0.35">
      <c r="A178" s="47" t="s">
        <v>249</v>
      </c>
      <c r="B178" s="48">
        <v>6067</v>
      </c>
      <c r="C178" s="48">
        <v>6503</v>
      </c>
    </row>
    <row r="179" spans="1:3" x14ac:dyDescent="0.35">
      <c r="A179" s="47" t="s">
        <v>250</v>
      </c>
      <c r="B179" s="57">
        <v>-13142</v>
      </c>
      <c r="C179" s="57">
        <v>-14948</v>
      </c>
    </row>
    <row r="180" spans="1:3" x14ac:dyDescent="0.35">
      <c r="A180" s="47" t="s">
        <v>251</v>
      </c>
      <c r="B180" s="57">
        <v>-13142</v>
      </c>
      <c r="C180" s="57">
        <v>-15075</v>
      </c>
    </row>
    <row r="181" spans="1:3" x14ac:dyDescent="0.35">
      <c r="A181" s="47" t="s">
        <v>252</v>
      </c>
      <c r="B181" s="50">
        <v>20274</v>
      </c>
      <c r="C181" s="50">
        <v>22445</v>
      </c>
    </row>
    <row r="182" spans="1:3" x14ac:dyDescent="0.35">
      <c r="A182" s="47" t="s">
        <v>253</v>
      </c>
      <c r="B182" s="50">
        <v>20274</v>
      </c>
      <c r="C182" s="50">
        <v>22572</v>
      </c>
    </row>
    <row r="183" spans="1:3" x14ac:dyDescent="0.35">
      <c r="A183" s="47" t="s">
        <v>254</v>
      </c>
      <c r="B183" s="50">
        <v>19942</v>
      </c>
      <c r="C183" s="50">
        <v>21606</v>
      </c>
    </row>
    <row r="184" spans="1:3" x14ac:dyDescent="0.35">
      <c r="A184" s="47" t="s">
        <v>255</v>
      </c>
      <c r="B184" s="48">
        <v>6360</v>
      </c>
      <c r="C184" s="48">
        <v>7079</v>
      </c>
    </row>
    <row r="185" spans="1:3" x14ac:dyDescent="0.35">
      <c r="A185" s="47" t="s">
        <v>472</v>
      </c>
      <c r="B185" s="48">
        <v>1779</v>
      </c>
      <c r="C185" s="48">
        <v>2118</v>
      </c>
    </row>
    <row r="186" spans="1:3" x14ac:dyDescent="0.35">
      <c r="A186" s="47" t="s">
        <v>256</v>
      </c>
      <c r="B186" s="54">
        <v>-1128</v>
      </c>
      <c r="C186" s="54">
        <v>-2089</v>
      </c>
    </row>
    <row r="187" spans="1:3" x14ac:dyDescent="0.35">
      <c r="A187" s="47" t="s">
        <v>257</v>
      </c>
      <c r="B187" s="54">
        <v>-2971</v>
      </c>
      <c r="C187" s="54">
        <v>-4230</v>
      </c>
    </row>
    <row r="188" spans="1:3" x14ac:dyDescent="0.35">
      <c r="A188" s="47" t="s">
        <v>434</v>
      </c>
      <c r="B188" s="48">
        <v>587</v>
      </c>
      <c r="C188" s="48">
        <v>409</v>
      </c>
    </row>
    <row r="189" spans="1:3" x14ac:dyDescent="0.35">
      <c r="A189" s="47" t="s">
        <v>258</v>
      </c>
      <c r="B189" s="48">
        <v>6067</v>
      </c>
      <c r="C189" s="48">
        <v>6503</v>
      </c>
    </row>
    <row r="190" spans="1:3" x14ac:dyDescent="0.35">
      <c r="A190" s="47" t="s">
        <v>493</v>
      </c>
      <c r="B190" s="50">
        <v>31100</v>
      </c>
      <c r="C190" s="50">
        <v>32700</v>
      </c>
    </row>
    <row r="191" spans="1:3" x14ac:dyDescent="0.35">
      <c r="A191" s="45" t="s">
        <v>259</v>
      </c>
      <c r="B191" s="46"/>
      <c r="C191" s="46"/>
    </row>
    <row r="192" spans="1:3" x14ac:dyDescent="0.35">
      <c r="A192" s="47" t="s">
        <v>260</v>
      </c>
      <c r="B192" s="51">
        <v>15</v>
      </c>
      <c r="C192" s="51">
        <v>11</v>
      </c>
    </row>
    <row r="193" spans="1:3" x14ac:dyDescent="0.35">
      <c r="A193" s="45" t="s">
        <v>261</v>
      </c>
      <c r="B193" s="46"/>
      <c r="C193" s="46"/>
    </row>
    <row r="194" spans="1:3" x14ac:dyDescent="0.35">
      <c r="A194" s="47" t="s">
        <v>262</v>
      </c>
      <c r="B194" s="48">
        <v>272</v>
      </c>
      <c r="C194" s="48">
        <v>318</v>
      </c>
    </row>
    <row r="195" spans="1:3" x14ac:dyDescent="0.35">
      <c r="A195" s="49" t="s">
        <v>263</v>
      </c>
      <c r="B195" s="48">
        <v>109</v>
      </c>
      <c r="C195" s="48">
        <v>107</v>
      </c>
    </row>
    <row r="196" spans="1:3" x14ac:dyDescent="0.35">
      <c r="A196" s="49" t="s">
        <v>264</v>
      </c>
      <c r="B196" s="51">
        <v>71</v>
      </c>
      <c r="C196" s="51">
        <v>82</v>
      </c>
    </row>
    <row r="197" spans="1:3" x14ac:dyDescent="0.35">
      <c r="A197" s="49" t="s">
        <v>265</v>
      </c>
      <c r="B197" s="51">
        <v>49</v>
      </c>
      <c r="C197" s="51">
        <v>59</v>
      </c>
    </row>
    <row r="198" spans="1:3" x14ac:dyDescent="0.35">
      <c r="A198" s="49" t="s">
        <v>266</v>
      </c>
      <c r="B198" s="51">
        <v>33</v>
      </c>
      <c r="C198" s="51">
        <v>38</v>
      </c>
    </row>
    <row r="199" spans="1:3" x14ac:dyDescent="0.35">
      <c r="A199" s="49" t="s">
        <v>267</v>
      </c>
      <c r="B199" s="51">
        <v>14</v>
      </c>
      <c r="C199" s="51">
        <v>26</v>
      </c>
    </row>
    <row r="200" spans="1:3" x14ac:dyDescent="0.35">
      <c r="A200" s="49" t="s">
        <v>268</v>
      </c>
      <c r="B200" s="51">
        <v>22</v>
      </c>
      <c r="C200" s="51">
        <v>51</v>
      </c>
    </row>
    <row r="201" spans="1:3" x14ac:dyDescent="0.35">
      <c r="A201" s="49" t="s">
        <v>269</v>
      </c>
      <c r="B201" s="51">
        <v>26</v>
      </c>
      <c r="C201" s="51">
        <v>45</v>
      </c>
    </row>
    <row r="202" spans="1:3" x14ac:dyDescent="0.35">
      <c r="A202" s="47" t="s">
        <v>270</v>
      </c>
      <c r="B202" s="48">
        <v>120</v>
      </c>
      <c r="C202" s="48">
        <v>141</v>
      </c>
    </row>
    <row r="203" spans="1:3" x14ac:dyDescent="0.35">
      <c r="A203" s="47" t="s">
        <v>271</v>
      </c>
      <c r="B203" s="51">
        <v>47</v>
      </c>
      <c r="C203" s="51">
        <v>64</v>
      </c>
    </row>
    <row r="204" spans="1:3" x14ac:dyDescent="0.35">
      <c r="A204" s="47" t="s">
        <v>272</v>
      </c>
      <c r="B204" s="51">
        <v>22</v>
      </c>
      <c r="C204" s="51">
        <v>51</v>
      </c>
    </row>
    <row r="205" spans="1:3" x14ac:dyDescent="0.35">
      <c r="A205" s="45" t="s">
        <v>273</v>
      </c>
      <c r="B205" s="46"/>
      <c r="C205" s="46"/>
    </row>
    <row r="206" spans="1:3" x14ac:dyDescent="0.35">
      <c r="A206" s="47" t="s">
        <v>274</v>
      </c>
      <c r="B206" s="50">
        <v>88000</v>
      </c>
      <c r="C206" s="50">
        <v>93000</v>
      </c>
    </row>
    <row r="207" spans="1:3" x14ac:dyDescent="0.35">
      <c r="A207" s="47" t="s">
        <v>275</v>
      </c>
      <c r="B207" s="50">
        <v>88000</v>
      </c>
      <c r="C207" s="50">
        <v>93000</v>
      </c>
    </row>
    <row r="208" spans="1:3" x14ac:dyDescent="0.35">
      <c r="A208"/>
      <c r="B208"/>
      <c r="C208"/>
    </row>
    <row r="209" spans="1:3" x14ac:dyDescent="0.35">
      <c r="A209"/>
      <c r="B209"/>
      <c r="C209"/>
    </row>
    <row r="210" spans="1:3" x14ac:dyDescent="0.35">
      <c r="A210"/>
      <c r="B210"/>
      <c r="C210"/>
    </row>
    <row r="211" spans="1:3" x14ac:dyDescent="0.35">
      <c r="A211"/>
      <c r="B211"/>
      <c r="C211"/>
    </row>
    <row r="212" spans="1:3" x14ac:dyDescent="0.35">
      <c r="A212" s="39" t="s">
        <v>110</v>
      </c>
      <c r="B212" s="40" t="s">
        <v>111</v>
      </c>
      <c r="C212" s="40" t="s">
        <v>112</v>
      </c>
    </row>
    <row r="213" spans="1:3" x14ac:dyDescent="0.35">
      <c r="A213" s="41" t="s">
        <v>113</v>
      </c>
      <c r="B213" s="42">
        <v>45657</v>
      </c>
      <c r="C213" s="42">
        <v>46022</v>
      </c>
    </row>
    <row r="214" spans="1:3" x14ac:dyDescent="0.35">
      <c r="A214" s="41" t="s">
        <v>114</v>
      </c>
      <c r="B214" s="42" t="s">
        <v>115</v>
      </c>
      <c r="C214" s="42" t="s">
        <v>115</v>
      </c>
    </row>
    <row r="215" spans="1:3" x14ac:dyDescent="0.35">
      <c r="A215" s="43" t="s">
        <v>276</v>
      </c>
      <c r="B215" s="39"/>
      <c r="C215" s="39"/>
    </row>
    <row r="216" spans="1:3" x14ac:dyDescent="0.35">
      <c r="A216" s="43" t="s">
        <v>117</v>
      </c>
      <c r="B216" s="44" t="s">
        <v>118</v>
      </c>
      <c r="C216" s="44" t="s">
        <v>119</v>
      </c>
    </row>
    <row r="217" spans="1:3" x14ac:dyDescent="0.35">
      <c r="A217" s="45" t="s">
        <v>277</v>
      </c>
      <c r="B217" s="46"/>
      <c r="C217" s="46"/>
    </row>
    <row r="218" spans="1:3" x14ac:dyDescent="0.35">
      <c r="A218" s="47" t="s">
        <v>278</v>
      </c>
      <c r="B218" s="50">
        <v>15405</v>
      </c>
      <c r="C218" s="50">
        <v>16310</v>
      </c>
    </row>
    <row r="219" spans="1:3" x14ac:dyDescent="0.35">
      <c r="A219" s="49" t="s">
        <v>279</v>
      </c>
      <c r="B219" s="50">
        <v>15405</v>
      </c>
      <c r="C219" s="50">
        <v>16310</v>
      </c>
    </row>
    <row r="220" spans="1:3" x14ac:dyDescent="0.35">
      <c r="A220" s="52" t="s">
        <v>64</v>
      </c>
      <c r="B220" s="53">
        <v>15405</v>
      </c>
      <c r="C220" s="53">
        <v>16310</v>
      </c>
    </row>
    <row r="221" spans="1:3" x14ac:dyDescent="0.35">
      <c r="A221" s="45" t="s">
        <v>280</v>
      </c>
      <c r="B221" s="46"/>
      <c r="C221" s="46"/>
    </row>
    <row r="222" spans="1:3" x14ac:dyDescent="0.35">
      <c r="A222" s="47" t="s">
        <v>281</v>
      </c>
      <c r="B222" s="50">
        <v>11144</v>
      </c>
      <c r="C222" s="50">
        <v>12024</v>
      </c>
    </row>
    <row r="223" spans="1:3" x14ac:dyDescent="0.35">
      <c r="A223" s="49" t="s">
        <v>282</v>
      </c>
      <c r="B223" s="50">
        <v>11144</v>
      </c>
      <c r="C223" s="50">
        <v>12024</v>
      </c>
    </row>
    <row r="224" spans="1:3" x14ac:dyDescent="0.35">
      <c r="A224" s="49" t="s">
        <v>283</v>
      </c>
      <c r="B224" s="50">
        <v>10030</v>
      </c>
      <c r="C224" s="50">
        <v>10880</v>
      </c>
    </row>
    <row r="225" spans="1:3" x14ac:dyDescent="0.35">
      <c r="A225" s="49" t="s">
        <v>494</v>
      </c>
      <c r="B225" s="48">
        <v>965</v>
      </c>
      <c r="C225" s="48">
        <v>984</v>
      </c>
    </row>
    <row r="226" spans="1:3" x14ac:dyDescent="0.35">
      <c r="A226" s="49" t="s">
        <v>284</v>
      </c>
      <c r="B226" s="48">
        <v>149</v>
      </c>
      <c r="C226" s="48">
        <v>160</v>
      </c>
    </row>
    <row r="227" spans="1:3" x14ac:dyDescent="0.35">
      <c r="A227" s="52" t="s">
        <v>68</v>
      </c>
      <c r="B227" s="58">
        <v>4261</v>
      </c>
      <c r="C227" s="58">
        <v>4286</v>
      </c>
    </row>
    <row r="228" spans="1:3" x14ac:dyDescent="0.35">
      <c r="A228" s="47" t="s">
        <v>286</v>
      </c>
      <c r="B228" s="48">
        <v>1992</v>
      </c>
      <c r="C228" s="48">
        <v>1999</v>
      </c>
    </row>
    <row r="229" spans="1:3" x14ac:dyDescent="0.35">
      <c r="A229" s="49" t="s">
        <v>287</v>
      </c>
      <c r="B229" s="48">
        <v>1834</v>
      </c>
      <c r="C229" s="48">
        <v>1839</v>
      </c>
    </row>
    <row r="230" spans="1:3" x14ac:dyDescent="0.35">
      <c r="A230" s="49" t="s">
        <v>289</v>
      </c>
      <c r="B230" s="48">
        <v>158</v>
      </c>
      <c r="C230" s="48">
        <v>160</v>
      </c>
    </row>
    <row r="231" spans="1:3" x14ac:dyDescent="0.35">
      <c r="A231" s="49" t="s">
        <v>495</v>
      </c>
      <c r="B231" s="48">
        <v>158</v>
      </c>
      <c r="C231" s="48">
        <v>160</v>
      </c>
    </row>
    <row r="232" spans="1:3" x14ac:dyDescent="0.35">
      <c r="A232" s="47" t="s">
        <v>76</v>
      </c>
      <c r="B232" s="50">
        <v>13136</v>
      </c>
      <c r="C232" s="50">
        <v>14023</v>
      </c>
    </row>
    <row r="233" spans="1:3" x14ac:dyDescent="0.35">
      <c r="A233" s="45" t="s">
        <v>292</v>
      </c>
      <c r="B233" s="46"/>
      <c r="C233" s="46"/>
    </row>
    <row r="234" spans="1:3" x14ac:dyDescent="0.35">
      <c r="A234" s="52" t="s">
        <v>293</v>
      </c>
      <c r="B234" s="58">
        <v>2269</v>
      </c>
      <c r="C234" s="58">
        <v>2287</v>
      </c>
    </row>
    <row r="235" spans="1:3" x14ac:dyDescent="0.35">
      <c r="A235" s="45" t="s">
        <v>294</v>
      </c>
      <c r="B235" s="46"/>
      <c r="C235" s="46"/>
    </row>
    <row r="236" spans="1:3" x14ac:dyDescent="0.35">
      <c r="A236" s="47" t="s">
        <v>295</v>
      </c>
      <c r="B236" s="54">
        <v>-623</v>
      </c>
      <c r="C236" s="54">
        <v>-684</v>
      </c>
    </row>
    <row r="237" spans="1:3" x14ac:dyDescent="0.35">
      <c r="A237" s="49" t="s">
        <v>81</v>
      </c>
      <c r="B237" s="48">
        <v>623</v>
      </c>
      <c r="C237" s="48">
        <v>684</v>
      </c>
    </row>
    <row r="238" spans="1:3" x14ac:dyDescent="0.35">
      <c r="A238" s="49" t="s">
        <v>296</v>
      </c>
      <c r="B238" s="51">
        <v>47</v>
      </c>
      <c r="C238" s="51">
        <v>45</v>
      </c>
    </row>
    <row r="239" spans="1:3" x14ac:dyDescent="0.35">
      <c r="A239" s="49" t="s">
        <v>297</v>
      </c>
      <c r="B239" s="48">
        <v>670</v>
      </c>
      <c r="C239" s="48">
        <v>729</v>
      </c>
    </row>
    <row r="240" spans="1:3" x14ac:dyDescent="0.35">
      <c r="A240" s="47" t="s">
        <v>438</v>
      </c>
      <c r="B240" s="51">
        <v>90</v>
      </c>
      <c r="C240" s="51">
        <v>99</v>
      </c>
    </row>
    <row r="241" spans="1:3" x14ac:dyDescent="0.35">
      <c r="A241" s="47" t="s">
        <v>304</v>
      </c>
      <c r="B241" s="48">
        <v>1736</v>
      </c>
      <c r="C241" s="48">
        <v>1702</v>
      </c>
    </row>
    <row r="242" spans="1:3" x14ac:dyDescent="0.35">
      <c r="A242" s="45" t="s">
        <v>305</v>
      </c>
      <c r="B242" s="46"/>
      <c r="C242" s="46"/>
    </row>
    <row r="243" spans="1:3" x14ac:dyDescent="0.35">
      <c r="A243" s="47" t="s">
        <v>306</v>
      </c>
      <c r="B243" s="55">
        <v>-67</v>
      </c>
      <c r="C243" s="54">
        <v>-111</v>
      </c>
    </row>
    <row r="244" spans="1:3" x14ac:dyDescent="0.35">
      <c r="A244" s="49" t="s">
        <v>310</v>
      </c>
      <c r="B244" s="51">
        <v>67</v>
      </c>
      <c r="C244" s="48">
        <v>105</v>
      </c>
    </row>
    <row r="245" spans="1:3" x14ac:dyDescent="0.35">
      <c r="A245" s="49" t="s">
        <v>311</v>
      </c>
      <c r="B245" s="50">
        <v>0</v>
      </c>
      <c r="C245" s="55">
        <v>-6</v>
      </c>
    </row>
    <row r="246" spans="1:3" x14ac:dyDescent="0.35">
      <c r="A246" s="45" t="s">
        <v>313</v>
      </c>
      <c r="B246" s="46"/>
      <c r="C246" s="46"/>
    </row>
    <row r="247" spans="1:3" x14ac:dyDescent="0.35">
      <c r="A247" s="52" t="s">
        <v>83</v>
      </c>
      <c r="B247" s="58">
        <v>1669</v>
      </c>
      <c r="C247" s="58">
        <v>1591</v>
      </c>
    </row>
    <row r="248" spans="1:3" x14ac:dyDescent="0.35">
      <c r="A248" s="45" t="s">
        <v>314</v>
      </c>
      <c r="B248" s="46"/>
      <c r="C248" s="46"/>
    </row>
    <row r="249" spans="1:3" x14ac:dyDescent="0.35">
      <c r="A249" s="47" t="s">
        <v>84</v>
      </c>
      <c r="B249" s="48">
        <v>301</v>
      </c>
      <c r="C249" s="48">
        <v>252</v>
      </c>
    </row>
    <row r="250" spans="1:3" x14ac:dyDescent="0.35">
      <c r="A250" s="49" t="s">
        <v>315</v>
      </c>
      <c r="B250" s="48">
        <v>430</v>
      </c>
      <c r="C250" s="48">
        <v>432</v>
      </c>
    </row>
    <row r="251" spans="1:3" x14ac:dyDescent="0.35">
      <c r="A251" s="49" t="s">
        <v>316</v>
      </c>
      <c r="B251" s="51">
        <v>44</v>
      </c>
      <c r="C251" s="51">
        <v>49</v>
      </c>
    </row>
    <row r="252" spans="1:3" x14ac:dyDescent="0.35">
      <c r="A252" s="49" t="s">
        <v>317</v>
      </c>
      <c r="B252" s="48">
        <v>386</v>
      </c>
      <c r="C252" s="48">
        <v>383</v>
      </c>
    </row>
    <row r="253" spans="1:3" x14ac:dyDescent="0.35">
      <c r="A253" s="49" t="s">
        <v>318</v>
      </c>
      <c r="B253" s="54">
        <v>-129</v>
      </c>
      <c r="C253" s="54">
        <v>-180</v>
      </c>
    </row>
    <row r="254" spans="1:3" x14ac:dyDescent="0.35">
      <c r="A254" s="49" t="s">
        <v>319</v>
      </c>
      <c r="B254" s="54">
        <v>-116</v>
      </c>
      <c r="C254" s="54">
        <v>-132</v>
      </c>
    </row>
    <row r="255" spans="1:3" x14ac:dyDescent="0.35">
      <c r="A255" s="49" t="s">
        <v>320</v>
      </c>
      <c r="B255" s="55">
        <v>-13</v>
      </c>
      <c r="C255" s="55">
        <v>-48</v>
      </c>
    </row>
    <row r="256" spans="1:3" x14ac:dyDescent="0.35">
      <c r="A256" s="45" t="s">
        <v>321</v>
      </c>
      <c r="B256" s="46"/>
      <c r="C256" s="46"/>
    </row>
    <row r="257" spans="1:3" x14ac:dyDescent="0.35">
      <c r="A257" s="47" t="s">
        <v>322</v>
      </c>
      <c r="B257" s="48">
        <v>1368</v>
      </c>
      <c r="C257" s="48">
        <v>1339</v>
      </c>
    </row>
    <row r="258" spans="1:3" x14ac:dyDescent="0.35">
      <c r="A258" s="45" t="s">
        <v>323</v>
      </c>
      <c r="B258" s="46"/>
      <c r="C258" s="46"/>
    </row>
    <row r="259" spans="1:3" x14ac:dyDescent="0.35">
      <c r="A259" s="47" t="s">
        <v>496</v>
      </c>
      <c r="B259" s="51">
        <v>5</v>
      </c>
      <c r="C259" s="51">
        <v>22</v>
      </c>
    </row>
    <row r="260" spans="1:3" x14ac:dyDescent="0.35">
      <c r="A260" s="52" t="s">
        <v>324</v>
      </c>
      <c r="B260" s="58">
        <v>1373</v>
      </c>
      <c r="C260" s="58">
        <v>1361</v>
      </c>
    </row>
    <row r="261" spans="1:3" x14ac:dyDescent="0.35">
      <c r="A261" s="47" t="s">
        <v>327</v>
      </c>
      <c r="B261" s="48">
        <v>1373</v>
      </c>
      <c r="C261" s="48">
        <v>1361</v>
      </c>
    </row>
    <row r="262" spans="1:3" x14ac:dyDescent="0.35">
      <c r="A262" s="47" t="s">
        <v>442</v>
      </c>
      <c r="B262" s="50"/>
      <c r="C262" s="51">
        <v>1</v>
      </c>
    </row>
    <row r="263" spans="1:3" x14ac:dyDescent="0.35">
      <c r="A263" s="47" t="s">
        <v>85</v>
      </c>
      <c r="B263" s="48">
        <v>1373</v>
      </c>
      <c r="C263" s="48">
        <v>1360</v>
      </c>
    </row>
    <row r="264" spans="1:3" x14ac:dyDescent="0.35">
      <c r="A264" s="45" t="s">
        <v>328</v>
      </c>
      <c r="B264" s="46"/>
      <c r="C264" s="46"/>
    </row>
    <row r="265" spans="1:3" x14ac:dyDescent="0.35">
      <c r="A265" s="52" t="s">
        <v>330</v>
      </c>
      <c r="B265" s="58">
        <v>1373</v>
      </c>
      <c r="C265" s="58">
        <v>1360</v>
      </c>
    </row>
    <row r="266" spans="1:3" x14ac:dyDescent="0.35">
      <c r="A266" s="45" t="s">
        <v>331</v>
      </c>
      <c r="B266" s="46"/>
      <c r="C266" s="46"/>
    </row>
    <row r="267" spans="1:3" x14ac:dyDescent="0.35">
      <c r="A267" s="47" t="s">
        <v>332</v>
      </c>
      <c r="B267" s="48">
        <v>1373</v>
      </c>
      <c r="C267" s="48">
        <v>1361</v>
      </c>
    </row>
    <row r="268" spans="1:3" x14ac:dyDescent="0.35">
      <c r="A268" s="47" t="s">
        <v>333</v>
      </c>
      <c r="B268" s="54">
        <v>-200</v>
      </c>
      <c r="C268" s="48">
        <v>106</v>
      </c>
    </row>
    <row r="269" spans="1:3" x14ac:dyDescent="0.35">
      <c r="A269" s="47" t="s">
        <v>335</v>
      </c>
      <c r="B269" s="51">
        <v>22</v>
      </c>
      <c r="C269" s="55">
        <v>-29</v>
      </c>
    </row>
    <row r="270" spans="1:3" x14ac:dyDescent="0.35">
      <c r="A270" s="47" t="s">
        <v>336</v>
      </c>
      <c r="B270" s="51">
        <v>7</v>
      </c>
      <c r="C270" s="51">
        <v>18</v>
      </c>
    </row>
    <row r="271" spans="1:3" x14ac:dyDescent="0.35">
      <c r="A271" s="47" t="s">
        <v>338</v>
      </c>
      <c r="B271" s="54">
        <v>-171</v>
      </c>
      <c r="C271" s="51">
        <v>95</v>
      </c>
    </row>
    <row r="272" spans="1:3" x14ac:dyDescent="0.35">
      <c r="A272" s="52" t="s">
        <v>339</v>
      </c>
      <c r="B272" s="58">
        <v>1202</v>
      </c>
      <c r="C272" s="58">
        <v>1456</v>
      </c>
    </row>
    <row r="273" spans="1:3" x14ac:dyDescent="0.35">
      <c r="A273" s="47" t="s">
        <v>443</v>
      </c>
      <c r="B273" s="50"/>
      <c r="C273" s="51">
        <v>1</v>
      </c>
    </row>
    <row r="274" spans="1:3" x14ac:dyDescent="0.35">
      <c r="A274" s="47" t="s">
        <v>340</v>
      </c>
      <c r="B274" s="48">
        <v>1202</v>
      </c>
      <c r="C274" s="48">
        <v>1455</v>
      </c>
    </row>
    <row r="275" spans="1:3" x14ac:dyDescent="0.35">
      <c r="A275" s="45" t="s">
        <v>341</v>
      </c>
      <c r="B275" s="46"/>
      <c r="C275" s="46"/>
    </row>
    <row r="276" spans="1:3" x14ac:dyDescent="0.35">
      <c r="A276" s="47" t="s">
        <v>342</v>
      </c>
      <c r="B276" s="48">
        <v>1373</v>
      </c>
      <c r="C276" s="48">
        <v>1360</v>
      </c>
    </row>
    <row r="277" spans="1:3" x14ac:dyDescent="0.35">
      <c r="A277" s="49" t="s">
        <v>343</v>
      </c>
      <c r="B277" s="48">
        <v>1373</v>
      </c>
      <c r="C277" s="48">
        <v>1360</v>
      </c>
    </row>
    <row r="278" spans="1:3" x14ac:dyDescent="0.35">
      <c r="A278" s="49" t="s">
        <v>344</v>
      </c>
      <c r="B278" s="48">
        <v>181.3</v>
      </c>
      <c r="C278" s="48">
        <v>171.9</v>
      </c>
    </row>
    <row r="279" spans="1:3" x14ac:dyDescent="0.35">
      <c r="A279" s="49" t="s">
        <v>345</v>
      </c>
      <c r="B279" s="51">
        <v>7.57</v>
      </c>
      <c r="C279" s="51">
        <v>7.91</v>
      </c>
    </row>
    <row r="280" spans="1:3" x14ac:dyDescent="0.35">
      <c r="A280" s="49" t="s">
        <v>346</v>
      </c>
      <c r="B280" s="51">
        <v>7.57</v>
      </c>
      <c r="C280" s="51">
        <v>7.91</v>
      </c>
    </row>
    <row r="281" spans="1:3" x14ac:dyDescent="0.35">
      <c r="A281" s="49" t="s">
        <v>347</v>
      </c>
      <c r="B281" s="51">
        <v>7.94</v>
      </c>
      <c r="C281" s="51">
        <v>8.56</v>
      </c>
    </row>
    <row r="282" spans="1:3" x14ac:dyDescent="0.35">
      <c r="A282" s="47" t="s">
        <v>348</v>
      </c>
      <c r="B282" s="48">
        <v>1373</v>
      </c>
      <c r="C282" s="48">
        <v>1360</v>
      </c>
    </row>
    <row r="283" spans="1:3" x14ac:dyDescent="0.35">
      <c r="A283" s="47" t="s">
        <v>349</v>
      </c>
      <c r="B283" s="51">
        <v>1</v>
      </c>
      <c r="C283" s="51">
        <v>1</v>
      </c>
    </row>
    <row r="284" spans="1:3" x14ac:dyDescent="0.35">
      <c r="A284" s="49" t="s">
        <v>350</v>
      </c>
      <c r="B284" s="48">
        <v>181.3</v>
      </c>
      <c r="C284" s="48">
        <v>171.9</v>
      </c>
    </row>
    <row r="285" spans="1:3" x14ac:dyDescent="0.35">
      <c r="A285" s="49" t="s">
        <v>351</v>
      </c>
      <c r="B285" s="51">
        <v>7.57</v>
      </c>
      <c r="C285" s="51">
        <v>7.91</v>
      </c>
    </row>
    <row r="286" spans="1:3" x14ac:dyDescent="0.35">
      <c r="A286" s="49" t="s">
        <v>352</v>
      </c>
      <c r="B286" s="51">
        <v>7.57</v>
      </c>
      <c r="C286" s="51">
        <v>7.91</v>
      </c>
    </row>
    <row r="287" spans="1:3" x14ac:dyDescent="0.35">
      <c r="A287" s="49" t="s">
        <v>353</v>
      </c>
      <c r="B287" s="51">
        <v>7.94</v>
      </c>
      <c r="C287" s="51">
        <v>8.56</v>
      </c>
    </row>
    <row r="288" spans="1:3" x14ac:dyDescent="0.35">
      <c r="A288" s="47" t="s">
        <v>354</v>
      </c>
      <c r="B288" s="50">
        <v>0</v>
      </c>
      <c r="C288" s="50">
        <v>0</v>
      </c>
    </row>
    <row r="289" spans="1:3" x14ac:dyDescent="0.35">
      <c r="A289" s="47" t="s">
        <v>355</v>
      </c>
      <c r="B289" s="51">
        <v>6.63</v>
      </c>
      <c r="C289" s="51">
        <v>8.4600000000000009</v>
      </c>
    </row>
    <row r="290" spans="1:3" x14ac:dyDescent="0.35">
      <c r="A290" s="45" t="s">
        <v>356</v>
      </c>
      <c r="B290" s="46"/>
      <c r="C290" s="46"/>
    </row>
    <row r="291" spans="1:3" x14ac:dyDescent="0.35">
      <c r="A291" s="47" t="s">
        <v>357</v>
      </c>
      <c r="B291" s="48">
        <v>1373</v>
      </c>
      <c r="C291" s="48">
        <v>1360</v>
      </c>
    </row>
    <row r="292" spans="1:3" x14ac:dyDescent="0.35">
      <c r="A292" s="49" t="s">
        <v>358</v>
      </c>
      <c r="B292" s="48">
        <v>1373</v>
      </c>
      <c r="C292" s="48">
        <v>1360</v>
      </c>
    </row>
    <row r="293" spans="1:3" x14ac:dyDescent="0.35">
      <c r="A293" s="49" t="s">
        <v>359</v>
      </c>
      <c r="B293" s="48">
        <v>183.4</v>
      </c>
      <c r="C293" s="48">
        <v>173.5</v>
      </c>
    </row>
    <row r="294" spans="1:3" x14ac:dyDescent="0.35">
      <c r="A294" s="49" t="s">
        <v>360</v>
      </c>
      <c r="B294" s="51">
        <v>7.49</v>
      </c>
      <c r="C294" s="51">
        <v>7.84</v>
      </c>
    </row>
    <row r="295" spans="1:3" x14ac:dyDescent="0.35">
      <c r="A295" s="49" t="s">
        <v>361</v>
      </c>
      <c r="B295" s="51">
        <v>7.49</v>
      </c>
      <c r="C295" s="51">
        <v>7.84</v>
      </c>
    </row>
    <row r="296" spans="1:3" x14ac:dyDescent="0.35">
      <c r="A296" s="49" t="s">
        <v>362</v>
      </c>
      <c r="B296" s="51">
        <v>7.85</v>
      </c>
      <c r="C296" s="51">
        <v>8.48</v>
      </c>
    </row>
    <row r="297" spans="1:3" x14ac:dyDescent="0.35">
      <c r="A297" s="47" t="s">
        <v>363</v>
      </c>
      <c r="B297" s="48">
        <v>1373</v>
      </c>
      <c r="C297" s="48">
        <v>1360</v>
      </c>
    </row>
    <row r="298" spans="1:3" x14ac:dyDescent="0.35">
      <c r="A298" s="47" t="s">
        <v>364</v>
      </c>
      <c r="B298" s="51">
        <v>1</v>
      </c>
      <c r="C298" s="51">
        <v>1</v>
      </c>
    </row>
    <row r="299" spans="1:3" x14ac:dyDescent="0.35">
      <c r="A299" s="49" t="s">
        <v>365</v>
      </c>
      <c r="B299" s="48">
        <v>183.4</v>
      </c>
      <c r="C299" s="48">
        <v>173.5</v>
      </c>
    </row>
    <row r="300" spans="1:3" x14ac:dyDescent="0.35">
      <c r="A300" s="49" t="s">
        <v>366</v>
      </c>
      <c r="B300" s="51">
        <v>7.49</v>
      </c>
      <c r="C300" s="51">
        <v>7.84</v>
      </c>
    </row>
    <row r="301" spans="1:3" x14ac:dyDescent="0.35">
      <c r="A301" s="49" t="s">
        <v>367</v>
      </c>
      <c r="B301" s="51">
        <v>7.49</v>
      </c>
      <c r="C301" s="51">
        <v>7.84</v>
      </c>
    </row>
    <row r="302" spans="1:3" x14ac:dyDescent="0.35">
      <c r="A302" s="49" t="s">
        <v>368</v>
      </c>
      <c r="B302" s="51">
        <v>7.85</v>
      </c>
      <c r="C302" s="51">
        <v>8.48</v>
      </c>
    </row>
    <row r="303" spans="1:3" x14ac:dyDescent="0.35">
      <c r="A303" s="47" t="s">
        <v>369</v>
      </c>
      <c r="B303" s="50">
        <v>0</v>
      </c>
      <c r="C303" s="50">
        <v>0</v>
      </c>
    </row>
    <row r="304" spans="1:3" x14ac:dyDescent="0.35">
      <c r="A304" s="47" t="s">
        <v>370</v>
      </c>
      <c r="B304" s="51">
        <v>6.55</v>
      </c>
      <c r="C304" s="51">
        <v>8.39</v>
      </c>
    </row>
    <row r="305" spans="1:3" x14ac:dyDescent="0.35">
      <c r="A305" s="45" t="s">
        <v>371</v>
      </c>
      <c r="B305" s="46"/>
      <c r="C305" s="46"/>
    </row>
    <row r="306" spans="1:3" x14ac:dyDescent="0.35">
      <c r="A306" s="47" t="s">
        <v>372</v>
      </c>
      <c r="B306" s="50">
        <v>0</v>
      </c>
      <c r="C306" s="50">
        <v>0</v>
      </c>
    </row>
    <row r="307" spans="1:3" x14ac:dyDescent="0.35">
      <c r="A307" s="47" t="s">
        <v>373</v>
      </c>
      <c r="B307" s="50">
        <v>0</v>
      </c>
      <c r="C307" s="50">
        <v>0</v>
      </c>
    </row>
    <row r="308" spans="1:3" x14ac:dyDescent="0.35">
      <c r="A308" s="45" t="s">
        <v>374</v>
      </c>
      <c r="B308" s="46"/>
      <c r="C308" s="46"/>
    </row>
    <row r="309" spans="1:3" x14ac:dyDescent="0.35">
      <c r="A309" s="47" t="s">
        <v>78</v>
      </c>
      <c r="B309" s="48">
        <v>2269</v>
      </c>
      <c r="C309" s="48">
        <v>2287</v>
      </c>
    </row>
    <row r="310" spans="1:3" x14ac:dyDescent="0.35">
      <c r="A310" s="47" t="s">
        <v>80</v>
      </c>
      <c r="B310" s="48">
        <v>3383</v>
      </c>
      <c r="C310" s="48">
        <v>3431</v>
      </c>
    </row>
    <row r="311" spans="1:3" x14ac:dyDescent="0.35">
      <c r="A311" s="47" t="s">
        <v>376</v>
      </c>
      <c r="B311" s="48">
        <v>3541</v>
      </c>
      <c r="C311" s="48">
        <v>3591</v>
      </c>
    </row>
    <row r="312" spans="1:3" x14ac:dyDescent="0.35">
      <c r="A312" s="45" t="s">
        <v>377</v>
      </c>
      <c r="B312" s="46"/>
      <c r="C312" s="46"/>
    </row>
    <row r="313" spans="1:3" x14ac:dyDescent="0.35">
      <c r="A313" s="47" t="s">
        <v>378</v>
      </c>
      <c r="B313" s="48">
        <v>983</v>
      </c>
      <c r="C313" s="48">
        <v>1002</v>
      </c>
    </row>
    <row r="314" spans="1:3" x14ac:dyDescent="0.35">
      <c r="A314" s="49" t="s">
        <v>379</v>
      </c>
      <c r="B314" s="51">
        <v>18</v>
      </c>
      <c r="C314" s="51">
        <v>18</v>
      </c>
    </row>
    <row r="315" spans="1:3" x14ac:dyDescent="0.35">
      <c r="A315" s="49" t="s">
        <v>380</v>
      </c>
      <c r="B315" s="51">
        <v>18</v>
      </c>
      <c r="C315" s="51">
        <v>18</v>
      </c>
    </row>
    <row r="316" spans="1:3" x14ac:dyDescent="0.35">
      <c r="A316" s="49" t="s">
        <v>477</v>
      </c>
      <c r="B316" s="48">
        <v>965</v>
      </c>
      <c r="C316" s="48">
        <v>984</v>
      </c>
    </row>
    <row r="317" spans="1:3" x14ac:dyDescent="0.35">
      <c r="A317" s="49" t="s">
        <v>497</v>
      </c>
      <c r="B317" s="48">
        <v>965</v>
      </c>
      <c r="C317" s="48">
        <v>984</v>
      </c>
    </row>
    <row r="318" spans="1:3" x14ac:dyDescent="0.35">
      <c r="A318" s="45" t="s">
        <v>381</v>
      </c>
      <c r="B318" s="46"/>
      <c r="C318" s="46"/>
    </row>
    <row r="319" spans="1:3" x14ac:dyDescent="0.35">
      <c r="A319" s="47" t="s">
        <v>79</v>
      </c>
      <c r="B319" s="48">
        <v>1114</v>
      </c>
      <c r="C319" s="48">
        <v>1144</v>
      </c>
    </row>
    <row r="320" spans="1:3" x14ac:dyDescent="0.35">
      <c r="A320" s="49" t="s">
        <v>382</v>
      </c>
      <c r="B320" s="48">
        <v>149</v>
      </c>
      <c r="C320" s="48">
        <v>160</v>
      </c>
    </row>
    <row r="321" spans="1:3" x14ac:dyDescent="0.35">
      <c r="A321" s="49" t="s">
        <v>498</v>
      </c>
      <c r="B321" s="48">
        <v>965</v>
      </c>
      <c r="C321" s="48">
        <v>984</v>
      </c>
    </row>
    <row r="322" spans="1:3" x14ac:dyDescent="0.35">
      <c r="A322" s="45" t="s">
        <v>385</v>
      </c>
      <c r="B322" s="46"/>
      <c r="C322" s="46"/>
    </row>
    <row r="323" spans="1:3" x14ac:dyDescent="0.35">
      <c r="A323" s="47" t="s">
        <v>386</v>
      </c>
      <c r="B323" s="50"/>
      <c r="C323" s="50"/>
    </row>
    <row r="324" spans="1:3" x14ac:dyDescent="0.35">
      <c r="A324" s="49" t="s">
        <v>387</v>
      </c>
      <c r="B324" s="48">
        <v>162.74</v>
      </c>
      <c r="C324" s="48">
        <v>195.13</v>
      </c>
    </row>
    <row r="325" spans="1:3" x14ac:dyDescent="0.35">
      <c r="A325" s="49" t="s">
        <v>388</v>
      </c>
      <c r="B325" s="48">
        <v>206</v>
      </c>
      <c r="C325" s="48">
        <v>247</v>
      </c>
    </row>
    <row r="326" spans="1:3" x14ac:dyDescent="0.35">
      <c r="A326" s="49" t="s">
        <v>389</v>
      </c>
      <c r="B326" s="51">
        <v>43.26</v>
      </c>
      <c r="C326" s="51">
        <v>51.87</v>
      </c>
    </row>
    <row r="327" spans="1:3" x14ac:dyDescent="0.35">
      <c r="A327" s="45" t="s">
        <v>390</v>
      </c>
      <c r="B327" s="46"/>
      <c r="C327" s="46"/>
    </row>
    <row r="328" spans="1:3" x14ac:dyDescent="0.35">
      <c r="A328" s="47" t="s">
        <v>390</v>
      </c>
      <c r="B328" s="50"/>
      <c r="C328" s="51">
        <v>14.31</v>
      </c>
    </row>
    <row r="329" spans="1:3" x14ac:dyDescent="0.35">
      <c r="A329" s="49" t="s">
        <v>391</v>
      </c>
      <c r="B329" s="50"/>
      <c r="C329" s="51">
        <v>10.3</v>
      </c>
    </row>
    <row r="330" spans="1:3" x14ac:dyDescent="0.35">
      <c r="A330" s="49" t="s">
        <v>392</v>
      </c>
      <c r="B330" s="50"/>
      <c r="C330" s="51">
        <v>4</v>
      </c>
    </row>
    <row r="331" spans="1:3" x14ac:dyDescent="0.35">
      <c r="A331" s="49" t="s">
        <v>444</v>
      </c>
      <c r="B331" s="50"/>
      <c r="C331" s="51">
        <v>0.01</v>
      </c>
    </row>
    <row r="332" spans="1:3" x14ac:dyDescent="0.35">
      <c r="A332" s="45" t="s">
        <v>393</v>
      </c>
      <c r="B332" s="46"/>
      <c r="C332" s="46"/>
    </row>
    <row r="333" spans="1:3" x14ac:dyDescent="0.35">
      <c r="A333" s="47" t="s">
        <v>394</v>
      </c>
      <c r="B333" s="48">
        <v>1435</v>
      </c>
      <c r="C333" s="48">
        <v>1450</v>
      </c>
    </row>
    <row r="334" spans="1:3" x14ac:dyDescent="0.35">
      <c r="A334" s="47" t="s">
        <v>395</v>
      </c>
      <c r="B334" s="48">
        <v>1440</v>
      </c>
      <c r="C334" s="48">
        <v>1472</v>
      </c>
    </row>
    <row r="335" spans="1:3" x14ac:dyDescent="0.35">
      <c r="A335" s="47" t="s">
        <v>396</v>
      </c>
      <c r="B335" s="48">
        <v>1440</v>
      </c>
      <c r="C335" s="48">
        <v>1471</v>
      </c>
    </row>
    <row r="336" spans="1:3" x14ac:dyDescent="0.35">
      <c r="A336" s="47" t="s">
        <v>397</v>
      </c>
      <c r="B336" s="48">
        <v>2359</v>
      </c>
      <c r="C336" s="48">
        <v>2386</v>
      </c>
    </row>
    <row r="337" spans="1:3" x14ac:dyDescent="0.35">
      <c r="A337" s="47" t="s">
        <v>398</v>
      </c>
      <c r="B337" s="48">
        <v>3473</v>
      </c>
      <c r="C337" s="48">
        <v>3530</v>
      </c>
    </row>
    <row r="338" spans="1:3" x14ac:dyDescent="0.35">
      <c r="A338" s="45" t="s">
        <v>399</v>
      </c>
      <c r="B338" s="46"/>
      <c r="C338" s="46"/>
    </row>
    <row r="339" spans="1:3" x14ac:dyDescent="0.35">
      <c r="A339" s="47" t="s">
        <v>400</v>
      </c>
      <c r="B339" s="48">
        <v>176</v>
      </c>
      <c r="C339" s="48">
        <v>178</v>
      </c>
    </row>
    <row r="340" spans="1:3" x14ac:dyDescent="0.35">
      <c r="A340" s="49" t="s">
        <v>401</v>
      </c>
      <c r="B340" s="48">
        <v>158</v>
      </c>
      <c r="C340" s="48">
        <v>160</v>
      </c>
    </row>
    <row r="341" spans="1:3" x14ac:dyDescent="0.35">
      <c r="A341" s="49" t="s">
        <v>402</v>
      </c>
      <c r="B341" s="51">
        <v>18</v>
      </c>
      <c r="C341" s="51">
        <v>18</v>
      </c>
    </row>
    <row r="342" spans="1:3" x14ac:dyDescent="0.35">
      <c r="A342" s="45" t="s">
        <v>82</v>
      </c>
      <c r="B342" s="46"/>
      <c r="C342" s="46"/>
    </row>
    <row r="343" spans="1:3" x14ac:dyDescent="0.35">
      <c r="A343" s="47" t="s">
        <v>405</v>
      </c>
      <c r="B343" s="48">
        <v>158</v>
      </c>
      <c r="C343" s="48">
        <v>160</v>
      </c>
    </row>
    <row r="344" spans="1:3" x14ac:dyDescent="0.35">
      <c r="A344" s="47" t="s">
        <v>406</v>
      </c>
      <c r="B344" s="50">
        <v>11144</v>
      </c>
      <c r="C344" s="50">
        <v>12024</v>
      </c>
    </row>
    <row r="345" spans="1:3" x14ac:dyDescent="0.35">
      <c r="A345" s="47" t="s">
        <v>407</v>
      </c>
      <c r="B345" s="50">
        <v>10030</v>
      </c>
      <c r="C345" s="50">
        <v>10880</v>
      </c>
    </row>
    <row r="346" spans="1:3" x14ac:dyDescent="0.35">
      <c r="A346" s="47" t="s">
        <v>408</v>
      </c>
      <c r="B346" s="48">
        <v>670</v>
      </c>
      <c r="C346" s="48">
        <v>729</v>
      </c>
    </row>
    <row r="347" spans="1:3" x14ac:dyDescent="0.35">
      <c r="A347" s="47" t="s">
        <v>280</v>
      </c>
      <c r="B347" s="50">
        <v>13136</v>
      </c>
      <c r="C347" s="50">
        <v>14023</v>
      </c>
    </row>
    <row r="348" spans="1:3" x14ac:dyDescent="0.35">
      <c r="A348" s="47" t="s">
        <v>70</v>
      </c>
      <c r="B348" s="48">
        <v>1992</v>
      </c>
      <c r="C348" s="48">
        <v>1999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48"/>
  <sheetViews>
    <sheetView workbookViewId="0">
      <selection activeCell="B2" sqref="B2"/>
    </sheetView>
  </sheetViews>
  <sheetFormatPr defaultRowHeight="14.5" x14ac:dyDescent="0.35"/>
  <cols>
    <col min="1" max="1" width="45.6328125" style="11" customWidth="1"/>
    <col min="2" max="3" width="20.6328125" style="11" customWidth="1"/>
    <col min="4" max="16384" width="8.7265625" style="11"/>
  </cols>
  <sheetData>
    <row r="1" spans="1:3" ht="15" thickBot="1" x14ac:dyDescent="0.4">
      <c r="A1" s="146" t="s">
        <v>94</v>
      </c>
      <c r="B1" s="147"/>
      <c r="C1" s="147"/>
    </row>
    <row r="2" spans="1:3" ht="15" thickTop="1" x14ac:dyDescent="0.35">
      <c r="A2" s="148" t="s">
        <v>95</v>
      </c>
      <c r="B2" s="149" t="s">
        <v>789</v>
      </c>
      <c r="C2"/>
    </row>
    <row r="3" spans="1:3" x14ac:dyDescent="0.35">
      <c r="A3" s="148" t="s">
        <v>97</v>
      </c>
      <c r="B3" s="148" t="s">
        <v>98</v>
      </c>
      <c r="C3"/>
    </row>
    <row r="4" spans="1:3" x14ac:dyDescent="0.35">
      <c r="A4" s="148" t="s">
        <v>99</v>
      </c>
      <c r="B4" s="148" t="s">
        <v>790</v>
      </c>
      <c r="C4"/>
    </row>
    <row r="5" spans="1:3" x14ac:dyDescent="0.35">
      <c r="A5" s="148" t="s">
        <v>100</v>
      </c>
      <c r="B5" s="148" t="s">
        <v>488</v>
      </c>
      <c r="C5"/>
    </row>
    <row r="6" spans="1:3" x14ac:dyDescent="0.35">
      <c r="A6" s="148" t="s">
        <v>101</v>
      </c>
      <c r="B6" s="148" t="s">
        <v>102</v>
      </c>
      <c r="C6"/>
    </row>
    <row r="7" spans="1:3" x14ac:dyDescent="0.35">
      <c r="A7" s="148" t="s">
        <v>103</v>
      </c>
      <c r="B7" s="148" t="s">
        <v>104</v>
      </c>
      <c r="C7"/>
    </row>
    <row r="8" spans="1:3" x14ac:dyDescent="0.35">
      <c r="A8" s="148" t="s">
        <v>105</v>
      </c>
      <c r="B8" s="148" t="s">
        <v>106</v>
      </c>
      <c r="C8"/>
    </row>
    <row r="9" spans="1:3" x14ac:dyDescent="0.35">
      <c r="A9" s="148" t="s">
        <v>107</v>
      </c>
      <c r="B9" s="148" t="s">
        <v>108</v>
      </c>
      <c r="C9"/>
    </row>
    <row r="10" spans="1:3" x14ac:dyDescent="0.35">
      <c r="A10" s="148" t="s">
        <v>109</v>
      </c>
      <c r="B10" s="150">
        <v>46296.857230983798</v>
      </c>
      <c r="C10"/>
    </row>
    <row r="11" spans="1:3" x14ac:dyDescent="0.35">
      <c r="A11" s="151" t="s">
        <v>110</v>
      </c>
      <c r="B11" s="152" t="s">
        <v>111</v>
      </c>
      <c r="C11" s="152" t="s">
        <v>112</v>
      </c>
    </row>
    <row r="12" spans="1:3" x14ac:dyDescent="0.35">
      <c r="A12" s="153" t="s">
        <v>113</v>
      </c>
      <c r="B12" s="154">
        <v>45657</v>
      </c>
      <c r="C12" s="154">
        <v>46022</v>
      </c>
    </row>
    <row r="13" spans="1:3" x14ac:dyDescent="0.35">
      <c r="A13" s="153" t="s">
        <v>114</v>
      </c>
      <c r="B13" s="154" t="s">
        <v>115</v>
      </c>
      <c r="C13" s="154" t="s">
        <v>115</v>
      </c>
    </row>
    <row r="14" spans="1:3" ht="78.5" x14ac:dyDescent="0.35">
      <c r="A14" s="155" t="s">
        <v>116</v>
      </c>
      <c r="B14" s="151"/>
      <c r="C14" s="151"/>
    </row>
    <row r="15" spans="1:3" ht="26.5" x14ac:dyDescent="0.35">
      <c r="A15" s="155" t="s">
        <v>117</v>
      </c>
      <c r="B15" s="156" t="s">
        <v>118</v>
      </c>
      <c r="C15" s="156" t="s">
        <v>119</v>
      </c>
    </row>
    <row r="16" spans="1:3" ht="26" x14ac:dyDescent="0.35">
      <c r="A16" s="157" t="s">
        <v>120</v>
      </c>
      <c r="B16" s="158"/>
      <c r="C16" s="158"/>
    </row>
    <row r="17" spans="1:3" ht="65" x14ac:dyDescent="0.35">
      <c r="A17" s="159" t="s">
        <v>121</v>
      </c>
      <c r="B17" s="160">
        <v>3378.83</v>
      </c>
      <c r="C17" s="160">
        <v>4440.04</v>
      </c>
    </row>
    <row r="18" spans="1:3" ht="52" x14ac:dyDescent="0.35">
      <c r="A18" s="161" t="s">
        <v>12</v>
      </c>
      <c r="B18" s="160">
        <v>1499.94</v>
      </c>
      <c r="C18" s="160">
        <v>3491.29</v>
      </c>
    </row>
    <row r="19" spans="1:3" ht="65" x14ac:dyDescent="0.35">
      <c r="A19" s="161" t="s">
        <v>14</v>
      </c>
      <c r="B19" s="160">
        <v>1878.89</v>
      </c>
      <c r="C19" s="160">
        <v>948.75</v>
      </c>
    </row>
    <row r="20" spans="1:3" ht="65" x14ac:dyDescent="0.35">
      <c r="A20" s="161" t="s">
        <v>791</v>
      </c>
      <c r="B20" s="160">
        <v>1878.89</v>
      </c>
      <c r="C20" s="160">
        <v>948.75</v>
      </c>
    </row>
    <row r="21" spans="1:3" ht="65" x14ac:dyDescent="0.35">
      <c r="A21" s="159" t="s">
        <v>122</v>
      </c>
      <c r="B21" s="160">
        <v>909.1</v>
      </c>
      <c r="C21" s="160">
        <v>1657.06</v>
      </c>
    </row>
    <row r="22" spans="1:3" ht="104" x14ac:dyDescent="0.35">
      <c r="A22" s="161" t="s">
        <v>16</v>
      </c>
      <c r="B22" s="160">
        <v>817.71</v>
      </c>
      <c r="C22" s="160">
        <v>1489.57</v>
      </c>
    </row>
    <row r="23" spans="1:3" ht="78" x14ac:dyDescent="0.35">
      <c r="A23" s="161" t="s">
        <v>454</v>
      </c>
      <c r="B23" s="162">
        <v>40.89</v>
      </c>
      <c r="C23" s="160">
        <v>123.12</v>
      </c>
    </row>
    <row r="24" spans="1:3" ht="52" x14ac:dyDescent="0.35">
      <c r="A24" s="161" t="s">
        <v>455</v>
      </c>
      <c r="B24" s="162">
        <v>50.5</v>
      </c>
      <c r="C24" s="162">
        <v>44.36</v>
      </c>
    </row>
    <row r="25" spans="1:3" ht="26" x14ac:dyDescent="0.35">
      <c r="A25" s="159" t="s">
        <v>18</v>
      </c>
      <c r="B25" s="160">
        <v>407.23</v>
      </c>
      <c r="C25" s="160">
        <v>473.53</v>
      </c>
    </row>
    <row r="26" spans="1:3" ht="65" x14ac:dyDescent="0.35">
      <c r="A26" s="161" t="s">
        <v>125</v>
      </c>
      <c r="B26" s="160">
        <v>337.83</v>
      </c>
      <c r="C26" s="160">
        <v>335.54</v>
      </c>
    </row>
    <row r="27" spans="1:3" ht="78" x14ac:dyDescent="0.35">
      <c r="A27" s="161" t="s">
        <v>499</v>
      </c>
      <c r="B27" s="162">
        <v>26.36</v>
      </c>
      <c r="C27" s="162">
        <v>55.54</v>
      </c>
    </row>
    <row r="28" spans="1:3" ht="65" x14ac:dyDescent="0.35">
      <c r="A28" s="161" t="s">
        <v>126</v>
      </c>
      <c r="B28" s="162">
        <v>43.04</v>
      </c>
      <c r="C28" s="162">
        <v>82.46</v>
      </c>
    </row>
    <row r="29" spans="1:3" ht="52" x14ac:dyDescent="0.35">
      <c r="A29" s="159" t="s">
        <v>127</v>
      </c>
      <c r="B29" s="160">
        <v>187.95</v>
      </c>
      <c r="C29" s="160">
        <v>328.48</v>
      </c>
    </row>
    <row r="30" spans="1:3" ht="39" x14ac:dyDescent="0.35">
      <c r="A30" s="163" t="s">
        <v>22</v>
      </c>
      <c r="B30" s="164">
        <v>4883.1000000000004</v>
      </c>
      <c r="C30" s="164">
        <v>6899.1</v>
      </c>
    </row>
    <row r="31" spans="1:3" ht="39" x14ac:dyDescent="0.35">
      <c r="A31" s="157" t="s">
        <v>128</v>
      </c>
      <c r="B31" s="158"/>
      <c r="C31" s="158"/>
    </row>
    <row r="32" spans="1:3" ht="39" x14ac:dyDescent="0.35">
      <c r="A32" s="159" t="s">
        <v>25</v>
      </c>
      <c r="B32" s="162">
        <v>40.43</v>
      </c>
      <c r="C32" s="162">
        <v>47.15</v>
      </c>
    </row>
    <row r="33" spans="1:3" ht="65" x14ac:dyDescent="0.35">
      <c r="A33" s="161" t="s">
        <v>792</v>
      </c>
      <c r="B33" s="162">
        <v>40.43</v>
      </c>
      <c r="C33" s="162">
        <v>47.15</v>
      </c>
    </row>
    <row r="34" spans="1:3" ht="130" x14ac:dyDescent="0.35">
      <c r="A34" s="159" t="s">
        <v>130</v>
      </c>
      <c r="B34" s="162">
        <v>9.27</v>
      </c>
      <c r="C34" s="162">
        <v>3.38</v>
      </c>
    </row>
    <row r="35" spans="1:3" ht="65" x14ac:dyDescent="0.35">
      <c r="A35" s="159" t="s">
        <v>131</v>
      </c>
      <c r="B35" s="162">
        <v>94.85</v>
      </c>
      <c r="C35" s="162">
        <v>86.21</v>
      </c>
    </row>
    <row r="36" spans="1:3" ht="78" x14ac:dyDescent="0.35">
      <c r="A36" s="161" t="s">
        <v>457</v>
      </c>
      <c r="B36" s="162">
        <v>94.85</v>
      </c>
      <c r="C36" s="162">
        <v>86.21</v>
      </c>
    </row>
    <row r="37" spans="1:3" ht="65" x14ac:dyDescent="0.35">
      <c r="A37" s="159" t="s">
        <v>27</v>
      </c>
      <c r="B37" s="162">
        <v>43.52</v>
      </c>
      <c r="C37" s="162">
        <v>48.25</v>
      </c>
    </row>
    <row r="38" spans="1:3" ht="156" x14ac:dyDescent="0.35">
      <c r="A38" s="161" t="s">
        <v>133</v>
      </c>
      <c r="B38" s="162">
        <v>43.52</v>
      </c>
      <c r="C38" s="162">
        <v>48.25</v>
      </c>
    </row>
    <row r="39" spans="1:3" ht="78" x14ac:dyDescent="0.35">
      <c r="A39" s="165" t="s">
        <v>500</v>
      </c>
      <c r="B39" s="162">
        <v>1.18</v>
      </c>
      <c r="C39" s="162">
        <v>4.57</v>
      </c>
    </row>
    <row r="40" spans="1:3" ht="312" x14ac:dyDescent="0.35">
      <c r="A40" s="166" t="s">
        <v>503</v>
      </c>
      <c r="B40" s="162">
        <v>1.18</v>
      </c>
      <c r="C40" s="162">
        <v>4.57</v>
      </c>
    </row>
    <row r="41" spans="1:3" ht="117" x14ac:dyDescent="0.35">
      <c r="A41" s="165" t="s">
        <v>504</v>
      </c>
      <c r="B41" s="162">
        <v>1.81</v>
      </c>
      <c r="C41" s="162">
        <v>2.89</v>
      </c>
    </row>
    <row r="42" spans="1:3" ht="364" x14ac:dyDescent="0.35">
      <c r="A42" s="166" t="s">
        <v>793</v>
      </c>
      <c r="B42" s="162">
        <v>1.81</v>
      </c>
      <c r="C42" s="162">
        <v>2.89</v>
      </c>
    </row>
    <row r="43" spans="1:3" ht="182" x14ac:dyDescent="0.35">
      <c r="A43" s="165" t="s">
        <v>794</v>
      </c>
      <c r="B43" s="162">
        <v>0.13</v>
      </c>
      <c r="C43" s="162">
        <v>0.09</v>
      </c>
    </row>
    <row r="44" spans="1:3" ht="143" x14ac:dyDescent="0.35">
      <c r="A44" s="165" t="s">
        <v>414</v>
      </c>
      <c r="B44" s="162">
        <v>40.4</v>
      </c>
      <c r="C44" s="162">
        <v>40.69</v>
      </c>
    </row>
    <row r="45" spans="1:3" ht="409.5" x14ac:dyDescent="0.35">
      <c r="A45" s="166" t="s">
        <v>506</v>
      </c>
      <c r="B45" s="162">
        <v>40.4</v>
      </c>
      <c r="C45" s="162">
        <v>40.69</v>
      </c>
    </row>
    <row r="46" spans="1:3" ht="91" x14ac:dyDescent="0.35">
      <c r="A46" s="161" t="s">
        <v>134</v>
      </c>
      <c r="B46" s="162">
        <v>72.72</v>
      </c>
      <c r="C46" s="162">
        <v>83.97</v>
      </c>
    </row>
    <row r="47" spans="1:3" ht="221" x14ac:dyDescent="0.35">
      <c r="A47" s="165" t="s">
        <v>135</v>
      </c>
      <c r="B47" s="162">
        <v>72.72</v>
      </c>
      <c r="C47" s="162">
        <v>83.97</v>
      </c>
    </row>
    <row r="48" spans="1:3" ht="234" x14ac:dyDescent="0.35">
      <c r="A48" s="166" t="s">
        <v>458</v>
      </c>
      <c r="B48" s="162">
        <v>2.96</v>
      </c>
      <c r="C48" s="162">
        <v>7.49</v>
      </c>
    </row>
    <row r="49" spans="1:3" ht="351" x14ac:dyDescent="0.35">
      <c r="A49" s="167" t="s">
        <v>507</v>
      </c>
      <c r="B49" s="162">
        <v>2.96</v>
      </c>
      <c r="C49" s="162">
        <v>7.49</v>
      </c>
    </row>
    <row r="50" spans="1:3" ht="364" x14ac:dyDescent="0.35">
      <c r="A50" s="166" t="s">
        <v>447</v>
      </c>
      <c r="B50" s="162">
        <v>9.7100000000000009</v>
      </c>
      <c r="C50" s="162">
        <v>11.35</v>
      </c>
    </row>
    <row r="51" spans="1:3" ht="409.5" x14ac:dyDescent="0.35">
      <c r="A51" s="167" t="s">
        <v>543</v>
      </c>
      <c r="B51" s="162">
        <v>9.7100000000000009</v>
      </c>
      <c r="C51" s="162">
        <v>11.35</v>
      </c>
    </row>
    <row r="52" spans="1:3" ht="409.5" x14ac:dyDescent="0.35">
      <c r="A52" s="166" t="s">
        <v>795</v>
      </c>
      <c r="B52" s="162">
        <v>0.35</v>
      </c>
      <c r="C52" s="162">
        <v>0.35</v>
      </c>
    </row>
    <row r="53" spans="1:3" ht="403" x14ac:dyDescent="0.35">
      <c r="A53" s="166" t="s">
        <v>136</v>
      </c>
      <c r="B53" s="162">
        <v>59.7</v>
      </c>
      <c r="C53" s="162">
        <v>64.790000000000006</v>
      </c>
    </row>
    <row r="54" spans="1:3" ht="409.5" x14ac:dyDescent="0.35">
      <c r="A54" s="167" t="s">
        <v>463</v>
      </c>
      <c r="B54" s="162">
        <v>59.7</v>
      </c>
      <c r="C54" s="162">
        <v>64.790000000000006</v>
      </c>
    </row>
    <row r="55" spans="1:3" ht="156" x14ac:dyDescent="0.35">
      <c r="A55" s="161" t="s">
        <v>139</v>
      </c>
      <c r="B55" s="162">
        <v>29.2</v>
      </c>
      <c r="C55" s="162">
        <v>35.72</v>
      </c>
    </row>
    <row r="56" spans="1:3" ht="351" x14ac:dyDescent="0.35">
      <c r="A56" s="165" t="s">
        <v>140</v>
      </c>
      <c r="B56" s="162">
        <v>29.2</v>
      </c>
      <c r="C56" s="162">
        <v>35.72</v>
      </c>
    </row>
    <row r="57" spans="1:3" ht="409.5" x14ac:dyDescent="0.35">
      <c r="A57" s="166" t="s">
        <v>508</v>
      </c>
      <c r="B57" s="162">
        <v>1.77</v>
      </c>
      <c r="C57" s="162">
        <v>2.92</v>
      </c>
    </row>
    <row r="58" spans="1:3" ht="409.5" x14ac:dyDescent="0.35">
      <c r="A58" s="167" t="s">
        <v>511</v>
      </c>
      <c r="B58" s="162">
        <v>1.77</v>
      </c>
      <c r="C58" s="162">
        <v>2.92</v>
      </c>
    </row>
    <row r="59" spans="1:3" ht="409.5" x14ac:dyDescent="0.35">
      <c r="A59" s="166" t="s">
        <v>512</v>
      </c>
      <c r="B59" s="162">
        <v>7.9</v>
      </c>
      <c r="C59" s="162">
        <v>8.4499999999999993</v>
      </c>
    </row>
    <row r="60" spans="1:3" ht="409.5" x14ac:dyDescent="0.35">
      <c r="A60" s="167" t="s">
        <v>796</v>
      </c>
      <c r="B60" s="162">
        <v>7.9</v>
      </c>
      <c r="C60" s="162">
        <v>8.4499999999999993</v>
      </c>
    </row>
    <row r="61" spans="1:3" ht="409.5" x14ac:dyDescent="0.35">
      <c r="A61" s="166" t="s">
        <v>797</v>
      </c>
      <c r="B61" s="162">
        <v>0.22</v>
      </c>
      <c r="C61" s="162">
        <v>0.26</v>
      </c>
    </row>
    <row r="62" spans="1:3" ht="409.5" x14ac:dyDescent="0.35">
      <c r="A62" s="166" t="s">
        <v>629</v>
      </c>
      <c r="B62" s="162">
        <v>19.3</v>
      </c>
      <c r="C62" s="162">
        <v>24.1</v>
      </c>
    </row>
    <row r="63" spans="1:3" ht="409.5" x14ac:dyDescent="0.35">
      <c r="A63" s="167" t="s">
        <v>630</v>
      </c>
      <c r="B63" s="162">
        <v>19.3</v>
      </c>
      <c r="C63" s="162">
        <v>24.1</v>
      </c>
    </row>
    <row r="64" spans="1:3" ht="65" x14ac:dyDescent="0.35">
      <c r="A64" s="159" t="s">
        <v>141</v>
      </c>
      <c r="B64" s="160">
        <v>949.91</v>
      </c>
      <c r="C64" s="160">
        <v>1326.5</v>
      </c>
    </row>
    <row r="65" spans="1:3" ht="78" x14ac:dyDescent="0.35">
      <c r="A65" s="161" t="s">
        <v>142</v>
      </c>
      <c r="B65" s="162">
        <v>1.96</v>
      </c>
      <c r="C65" s="162">
        <v>4.84</v>
      </c>
    </row>
    <row r="66" spans="1:3" ht="65" x14ac:dyDescent="0.35">
      <c r="A66" s="161" t="s">
        <v>419</v>
      </c>
      <c r="B66" s="160">
        <v>924.3</v>
      </c>
      <c r="C66" s="160">
        <v>1295.8499999999999</v>
      </c>
    </row>
    <row r="67" spans="1:3" ht="78" x14ac:dyDescent="0.35">
      <c r="A67" s="161" t="s">
        <v>514</v>
      </c>
      <c r="B67" s="162">
        <v>23.64</v>
      </c>
      <c r="C67" s="162">
        <v>25.81</v>
      </c>
    </row>
    <row r="68" spans="1:3" ht="52" x14ac:dyDescent="0.35">
      <c r="A68" s="159" t="s">
        <v>29</v>
      </c>
      <c r="B68" s="160">
        <v>181.45</v>
      </c>
      <c r="C68" s="160">
        <v>272.10000000000002</v>
      </c>
    </row>
    <row r="69" spans="1:3" ht="104" x14ac:dyDescent="0.35">
      <c r="A69" s="161" t="s">
        <v>464</v>
      </c>
      <c r="B69" s="160">
        <v>181.45</v>
      </c>
      <c r="C69" s="160">
        <v>272.10000000000002</v>
      </c>
    </row>
    <row r="70" spans="1:3" ht="156" x14ac:dyDescent="0.35">
      <c r="A70" s="165" t="s">
        <v>489</v>
      </c>
      <c r="B70" s="162">
        <v>2.23</v>
      </c>
      <c r="C70" s="168"/>
    </row>
    <row r="71" spans="1:3" ht="130" x14ac:dyDescent="0.35">
      <c r="A71" s="165" t="s">
        <v>544</v>
      </c>
      <c r="B71" s="160">
        <v>179.22</v>
      </c>
      <c r="C71" s="160">
        <v>255.19</v>
      </c>
    </row>
    <row r="72" spans="1:3" ht="104" x14ac:dyDescent="0.35">
      <c r="A72" s="165" t="s">
        <v>491</v>
      </c>
      <c r="B72" s="168">
        <v>0</v>
      </c>
      <c r="C72" s="162">
        <v>16.91</v>
      </c>
    </row>
    <row r="73" spans="1:3" ht="65" x14ac:dyDescent="0.35">
      <c r="A73" s="161" t="s">
        <v>515</v>
      </c>
      <c r="B73" s="160">
        <v>197.02</v>
      </c>
      <c r="C73" s="160">
        <v>302.54000000000002</v>
      </c>
    </row>
    <row r="74" spans="1:3" ht="169" x14ac:dyDescent="0.35">
      <c r="A74" s="165" t="s">
        <v>516</v>
      </c>
      <c r="B74" s="160">
        <v>197.02</v>
      </c>
      <c r="C74" s="160">
        <v>302.54000000000002</v>
      </c>
    </row>
    <row r="75" spans="1:3" ht="409.5" x14ac:dyDescent="0.35">
      <c r="A75" s="166" t="s">
        <v>517</v>
      </c>
      <c r="B75" s="162">
        <v>4.34</v>
      </c>
      <c r="C75" s="168"/>
    </row>
    <row r="76" spans="1:3" ht="351" x14ac:dyDescent="0.35">
      <c r="A76" s="166" t="s">
        <v>798</v>
      </c>
      <c r="B76" s="160">
        <v>192.68</v>
      </c>
      <c r="C76" s="160">
        <v>277.91000000000003</v>
      </c>
    </row>
    <row r="77" spans="1:3" ht="364" x14ac:dyDescent="0.35">
      <c r="A77" s="166" t="s">
        <v>633</v>
      </c>
      <c r="B77" s="168">
        <v>0</v>
      </c>
      <c r="C77" s="162">
        <v>24.63</v>
      </c>
    </row>
    <row r="78" spans="1:3" ht="143" x14ac:dyDescent="0.35">
      <c r="A78" s="161" t="s">
        <v>519</v>
      </c>
      <c r="B78" s="162">
        <v>15.57</v>
      </c>
      <c r="C78" s="162">
        <v>30.43</v>
      </c>
    </row>
    <row r="79" spans="1:3" ht="299" x14ac:dyDescent="0.35">
      <c r="A79" s="165" t="s">
        <v>520</v>
      </c>
      <c r="B79" s="162">
        <v>15.57</v>
      </c>
      <c r="C79" s="162">
        <v>30.43</v>
      </c>
    </row>
    <row r="80" spans="1:3" ht="409.5" x14ac:dyDescent="0.35">
      <c r="A80" s="166" t="s">
        <v>521</v>
      </c>
      <c r="B80" s="162">
        <v>2.11</v>
      </c>
      <c r="C80" s="168"/>
    </row>
    <row r="81" spans="1:3" ht="409.5" x14ac:dyDescent="0.35">
      <c r="A81" s="166" t="s">
        <v>799</v>
      </c>
      <c r="B81" s="162">
        <v>13.46</v>
      </c>
      <c r="C81" s="162">
        <v>22.72</v>
      </c>
    </row>
    <row r="82" spans="1:3" ht="409.5" x14ac:dyDescent="0.35">
      <c r="A82" s="166" t="s">
        <v>635</v>
      </c>
      <c r="B82" s="168">
        <v>0</v>
      </c>
      <c r="C82" s="162">
        <v>7.72</v>
      </c>
    </row>
    <row r="83" spans="1:3" ht="39" x14ac:dyDescent="0.35">
      <c r="A83" s="163" t="s">
        <v>33</v>
      </c>
      <c r="B83" s="164">
        <v>1319.42</v>
      </c>
      <c r="C83" s="164">
        <v>1783.59</v>
      </c>
    </row>
    <row r="84" spans="1:3" ht="26" x14ac:dyDescent="0.35">
      <c r="A84" s="157" t="s">
        <v>35</v>
      </c>
      <c r="B84" s="158"/>
      <c r="C84" s="158"/>
    </row>
    <row r="85" spans="1:3" ht="26" x14ac:dyDescent="0.35">
      <c r="A85" s="163" t="s">
        <v>35</v>
      </c>
      <c r="B85" s="164">
        <v>6202.52</v>
      </c>
      <c r="C85" s="164">
        <v>8682.7000000000007</v>
      </c>
    </row>
    <row r="86" spans="1:3" ht="26" x14ac:dyDescent="0.35">
      <c r="A86" s="157" t="s">
        <v>143</v>
      </c>
      <c r="B86" s="158"/>
      <c r="C86" s="158"/>
    </row>
    <row r="87" spans="1:3" ht="78" x14ac:dyDescent="0.35">
      <c r="A87" s="159" t="s">
        <v>144</v>
      </c>
      <c r="B87" s="160">
        <v>633.52</v>
      </c>
      <c r="C87" s="160">
        <v>1168.6400000000001</v>
      </c>
    </row>
    <row r="88" spans="1:3" ht="117" x14ac:dyDescent="0.35">
      <c r="A88" s="161" t="s">
        <v>37</v>
      </c>
      <c r="B88" s="160">
        <v>342.23</v>
      </c>
      <c r="C88" s="160">
        <v>554.27</v>
      </c>
    </row>
    <row r="89" spans="1:3" ht="78" x14ac:dyDescent="0.35">
      <c r="A89" s="161" t="s">
        <v>145</v>
      </c>
      <c r="B89" s="160">
        <v>291.29000000000002</v>
      </c>
      <c r="C89" s="160">
        <v>614.38</v>
      </c>
    </row>
    <row r="90" spans="1:3" ht="104" x14ac:dyDescent="0.35">
      <c r="A90" s="159" t="s">
        <v>39</v>
      </c>
      <c r="B90" s="162">
        <v>6.53</v>
      </c>
      <c r="C90" s="162">
        <v>10.83</v>
      </c>
    </row>
    <row r="91" spans="1:3" ht="143" x14ac:dyDescent="0.35">
      <c r="A91" s="161" t="s">
        <v>146</v>
      </c>
      <c r="B91" s="162">
        <v>6.53</v>
      </c>
      <c r="C91" s="162">
        <v>10.83</v>
      </c>
    </row>
    <row r="92" spans="1:3" ht="117" x14ac:dyDescent="0.35">
      <c r="A92" s="165" t="s">
        <v>148</v>
      </c>
      <c r="B92" s="162">
        <v>6.53</v>
      </c>
      <c r="C92" s="162">
        <v>10.83</v>
      </c>
    </row>
    <row r="93" spans="1:3" ht="65" x14ac:dyDescent="0.35">
      <c r="A93" s="159" t="s">
        <v>149</v>
      </c>
      <c r="B93" s="162">
        <v>13.39</v>
      </c>
      <c r="C93" s="162">
        <v>42.21</v>
      </c>
    </row>
    <row r="94" spans="1:3" ht="52" x14ac:dyDescent="0.35">
      <c r="A94" s="159" t="s">
        <v>423</v>
      </c>
      <c r="B94" s="162">
        <v>16.47</v>
      </c>
      <c r="C94" s="162">
        <v>98.5</v>
      </c>
    </row>
    <row r="95" spans="1:3" ht="65" x14ac:dyDescent="0.35">
      <c r="A95" s="161" t="s">
        <v>41</v>
      </c>
      <c r="B95" s="162">
        <v>16.47</v>
      </c>
      <c r="C95" s="162">
        <v>98.5</v>
      </c>
    </row>
    <row r="96" spans="1:3" ht="39" x14ac:dyDescent="0.35">
      <c r="A96" s="163" t="s">
        <v>43</v>
      </c>
      <c r="B96" s="164">
        <v>669.92</v>
      </c>
      <c r="C96" s="164">
        <v>1320.19</v>
      </c>
    </row>
    <row r="97" spans="1:3" ht="39" x14ac:dyDescent="0.35">
      <c r="A97" s="157" t="s">
        <v>151</v>
      </c>
      <c r="B97" s="158"/>
      <c r="C97" s="158"/>
    </row>
    <row r="98" spans="1:3" ht="52" x14ac:dyDescent="0.35">
      <c r="A98" s="159" t="s">
        <v>45</v>
      </c>
      <c r="B98" s="162">
        <v>32.520000000000003</v>
      </c>
      <c r="C98" s="162">
        <v>36.33</v>
      </c>
    </row>
    <row r="99" spans="1:3" ht="91" x14ac:dyDescent="0.35">
      <c r="A99" s="161" t="s">
        <v>154</v>
      </c>
      <c r="B99" s="162">
        <v>32.520000000000003</v>
      </c>
      <c r="C99" s="162">
        <v>36.33</v>
      </c>
    </row>
    <row r="100" spans="1:3" ht="65" x14ac:dyDescent="0.35">
      <c r="A100" s="159" t="s">
        <v>158</v>
      </c>
      <c r="B100" s="162">
        <v>1.8</v>
      </c>
      <c r="C100" s="162">
        <v>3.09</v>
      </c>
    </row>
    <row r="101" spans="1:3" ht="52" x14ac:dyDescent="0.35">
      <c r="A101" s="161" t="s">
        <v>159</v>
      </c>
      <c r="B101" s="162">
        <v>1.8</v>
      </c>
      <c r="C101" s="162">
        <v>3.09</v>
      </c>
    </row>
    <row r="102" spans="1:3" ht="208" x14ac:dyDescent="0.35">
      <c r="A102" s="165" t="s">
        <v>160</v>
      </c>
      <c r="B102" s="162">
        <v>1.8</v>
      </c>
      <c r="C102" s="162">
        <v>3.09</v>
      </c>
    </row>
    <row r="103" spans="1:3" ht="39" x14ac:dyDescent="0.35">
      <c r="A103" s="159" t="s">
        <v>49</v>
      </c>
      <c r="B103" s="162">
        <v>34.32</v>
      </c>
      <c r="C103" s="162">
        <v>39.42</v>
      </c>
    </row>
    <row r="104" spans="1:3" ht="26" x14ac:dyDescent="0.35">
      <c r="A104" s="157" t="s">
        <v>51</v>
      </c>
      <c r="B104" s="158"/>
      <c r="C104" s="158"/>
    </row>
    <row r="105" spans="1:3" ht="26" x14ac:dyDescent="0.35">
      <c r="A105" s="163" t="s">
        <v>51</v>
      </c>
      <c r="B105" s="164">
        <v>704.24</v>
      </c>
      <c r="C105" s="164">
        <v>1359.61</v>
      </c>
    </row>
    <row r="106" spans="1:3" ht="39" x14ac:dyDescent="0.35">
      <c r="A106" s="157" t="s">
        <v>162</v>
      </c>
      <c r="B106" s="158"/>
      <c r="C106" s="158"/>
    </row>
    <row r="107" spans="1:3" ht="104" x14ac:dyDescent="0.35">
      <c r="A107" s="159" t="s">
        <v>163</v>
      </c>
      <c r="B107" s="160">
        <v>5498.28</v>
      </c>
      <c r="C107" s="160">
        <v>7323.09</v>
      </c>
    </row>
    <row r="108" spans="1:3" ht="117" x14ac:dyDescent="0.35">
      <c r="A108" s="161" t="s">
        <v>164</v>
      </c>
      <c r="B108" s="160">
        <v>5498.28</v>
      </c>
      <c r="C108" s="160">
        <v>7323.09</v>
      </c>
    </row>
    <row r="109" spans="1:3" ht="91" x14ac:dyDescent="0.35">
      <c r="A109" s="165" t="s">
        <v>166</v>
      </c>
      <c r="B109" s="160">
        <v>5956.14</v>
      </c>
      <c r="C109" s="160">
        <v>6193.91</v>
      </c>
    </row>
    <row r="110" spans="1:3" ht="260" x14ac:dyDescent="0.35">
      <c r="A110" s="166" t="s">
        <v>167</v>
      </c>
      <c r="B110" s="162">
        <v>7.23</v>
      </c>
      <c r="C110" s="162">
        <v>7.35</v>
      </c>
    </row>
    <row r="111" spans="1:3" ht="409.5" x14ac:dyDescent="0.35">
      <c r="A111" s="166" t="s">
        <v>168</v>
      </c>
      <c r="B111" s="160">
        <v>5948.92</v>
      </c>
      <c r="C111" s="160">
        <v>6186.55</v>
      </c>
    </row>
    <row r="112" spans="1:3" ht="182" x14ac:dyDescent="0.35">
      <c r="A112" s="165" t="s">
        <v>169</v>
      </c>
      <c r="B112" s="169">
        <v>-457.86</v>
      </c>
      <c r="C112" s="160">
        <v>1129.18</v>
      </c>
    </row>
    <row r="113" spans="1:3" ht="247" x14ac:dyDescent="0.35">
      <c r="A113" s="166" t="s">
        <v>170</v>
      </c>
      <c r="B113" s="169">
        <v>-1571.8</v>
      </c>
      <c r="C113" s="169">
        <v>-279.77</v>
      </c>
    </row>
    <row r="114" spans="1:3" ht="409.5" x14ac:dyDescent="0.35">
      <c r="A114" s="166" t="s">
        <v>171</v>
      </c>
      <c r="B114" s="160">
        <v>126.83</v>
      </c>
      <c r="C114" s="160">
        <v>138.57</v>
      </c>
    </row>
    <row r="115" spans="1:3" ht="409.5" x14ac:dyDescent="0.35">
      <c r="A115" s="167" t="s">
        <v>174</v>
      </c>
      <c r="B115" s="160">
        <v>126.83</v>
      </c>
      <c r="C115" s="160">
        <v>138.57</v>
      </c>
    </row>
    <row r="116" spans="1:3" ht="299" x14ac:dyDescent="0.35">
      <c r="A116" s="166" t="s">
        <v>427</v>
      </c>
      <c r="B116" s="160">
        <v>987.11</v>
      </c>
      <c r="C116" s="160">
        <v>1270.3800000000001</v>
      </c>
    </row>
    <row r="117" spans="1:3" ht="52" x14ac:dyDescent="0.35">
      <c r="A117" s="161" t="s">
        <v>53</v>
      </c>
      <c r="B117" s="160">
        <v>5498.28</v>
      </c>
      <c r="C117" s="160">
        <v>7323.09</v>
      </c>
    </row>
    <row r="118" spans="1:3" ht="52" x14ac:dyDescent="0.35">
      <c r="A118" s="157" t="s">
        <v>176</v>
      </c>
      <c r="B118" s="158"/>
      <c r="C118" s="158"/>
    </row>
    <row r="119" spans="1:3" ht="117" x14ac:dyDescent="0.35">
      <c r="A119" s="163" t="s">
        <v>57</v>
      </c>
      <c r="B119" s="164">
        <v>5498.28</v>
      </c>
      <c r="C119" s="164">
        <v>7323.09</v>
      </c>
    </row>
    <row r="120" spans="1:3" ht="78" x14ac:dyDescent="0.35">
      <c r="A120" s="157" t="s">
        <v>177</v>
      </c>
      <c r="B120" s="158"/>
      <c r="C120" s="158"/>
    </row>
    <row r="121" spans="1:3" ht="39" x14ac:dyDescent="0.35">
      <c r="A121" s="163" t="s">
        <v>60</v>
      </c>
      <c r="B121" s="164">
        <v>6202.52</v>
      </c>
      <c r="C121" s="164">
        <v>8682.7000000000007</v>
      </c>
    </row>
    <row r="122" spans="1:3" ht="39" x14ac:dyDescent="0.35">
      <c r="A122" s="157" t="s">
        <v>178</v>
      </c>
      <c r="B122" s="158"/>
      <c r="C122" s="158"/>
    </row>
    <row r="123" spans="1:3" ht="52" x14ac:dyDescent="0.35">
      <c r="A123" s="159" t="s">
        <v>179</v>
      </c>
      <c r="B123" s="162">
        <v>60.76</v>
      </c>
      <c r="C123" s="162">
        <v>61.88</v>
      </c>
    </row>
    <row r="124" spans="1:3" ht="78" x14ac:dyDescent="0.35">
      <c r="A124" s="161" t="s">
        <v>180</v>
      </c>
      <c r="B124" s="162">
        <v>60.76</v>
      </c>
      <c r="C124" s="162">
        <v>61.88</v>
      </c>
    </row>
    <row r="125" spans="1:3" ht="78" x14ac:dyDescent="0.35">
      <c r="A125" s="161" t="s">
        <v>181</v>
      </c>
      <c r="B125" s="168">
        <v>0</v>
      </c>
      <c r="C125" s="168">
        <v>0</v>
      </c>
    </row>
    <row r="126" spans="1:3" ht="65" x14ac:dyDescent="0.35">
      <c r="A126" s="159" t="s">
        <v>183</v>
      </c>
      <c r="B126" s="162">
        <v>60.76</v>
      </c>
      <c r="C126" s="162">
        <v>61.88</v>
      </c>
    </row>
    <row r="127" spans="1:3" ht="91" x14ac:dyDescent="0.35">
      <c r="A127" s="161" t="s">
        <v>184</v>
      </c>
      <c r="B127" s="162">
        <v>60.76</v>
      </c>
      <c r="C127" s="162">
        <v>61.88</v>
      </c>
    </row>
    <row r="128" spans="1:3" ht="91" x14ac:dyDescent="0.35">
      <c r="A128" s="161" t="s">
        <v>185</v>
      </c>
      <c r="B128" s="168">
        <v>0</v>
      </c>
      <c r="C128" s="168">
        <v>0</v>
      </c>
    </row>
    <row r="129" spans="1:3" ht="78" x14ac:dyDescent="0.35">
      <c r="A129" s="159" t="s">
        <v>524</v>
      </c>
      <c r="B129" s="168"/>
      <c r="C129" s="162">
        <v>61.88</v>
      </c>
    </row>
    <row r="130" spans="1:3" ht="104" x14ac:dyDescent="0.35">
      <c r="A130" s="161" t="s">
        <v>525</v>
      </c>
      <c r="B130" s="168"/>
      <c r="C130" s="162">
        <v>61.88</v>
      </c>
    </row>
    <row r="131" spans="1:3" ht="104" x14ac:dyDescent="0.35">
      <c r="A131" s="161" t="s">
        <v>526</v>
      </c>
      <c r="B131" s="168"/>
      <c r="C131" s="168">
        <v>0</v>
      </c>
    </row>
    <row r="132" spans="1:3" ht="39" x14ac:dyDescent="0.35">
      <c r="A132" s="157" t="s">
        <v>186</v>
      </c>
      <c r="B132" s="158"/>
      <c r="C132" s="158"/>
    </row>
    <row r="133" spans="1:3" ht="65" x14ac:dyDescent="0.35">
      <c r="A133" s="159" t="s">
        <v>187</v>
      </c>
      <c r="B133" s="162">
        <v>1</v>
      </c>
      <c r="C133" s="162">
        <v>1</v>
      </c>
    </row>
    <row r="134" spans="1:3" ht="65" x14ac:dyDescent="0.35">
      <c r="A134" s="159" t="s">
        <v>187</v>
      </c>
      <c r="B134" s="162">
        <v>1</v>
      </c>
      <c r="C134" s="162">
        <v>1</v>
      </c>
    </row>
    <row r="135" spans="1:3" ht="52" x14ac:dyDescent="0.35">
      <c r="A135" s="157" t="s">
        <v>188</v>
      </c>
      <c r="B135" s="158"/>
      <c r="C135" s="158"/>
    </row>
    <row r="136" spans="1:3" ht="104" x14ac:dyDescent="0.35">
      <c r="A136" s="159" t="s">
        <v>189</v>
      </c>
      <c r="B136" s="162">
        <v>40.4</v>
      </c>
      <c r="C136" s="162">
        <v>40.69</v>
      </c>
    </row>
    <row r="137" spans="1:3" ht="143" x14ac:dyDescent="0.35">
      <c r="A137" s="161" t="s">
        <v>191</v>
      </c>
      <c r="B137" s="162">
        <v>40.4</v>
      </c>
      <c r="C137" s="162">
        <v>40.69</v>
      </c>
    </row>
    <row r="138" spans="1:3" ht="117" x14ac:dyDescent="0.35">
      <c r="A138" s="161" t="s">
        <v>641</v>
      </c>
      <c r="B138" s="162">
        <v>59.7</v>
      </c>
      <c r="C138" s="162">
        <v>64.790000000000006</v>
      </c>
    </row>
    <row r="139" spans="1:3" ht="260" x14ac:dyDescent="0.35">
      <c r="A139" s="165" t="s">
        <v>642</v>
      </c>
      <c r="B139" s="162">
        <v>59.7</v>
      </c>
      <c r="C139" s="162">
        <v>64.790000000000006</v>
      </c>
    </row>
    <row r="140" spans="1:3" ht="156" x14ac:dyDescent="0.35">
      <c r="A140" s="161" t="s">
        <v>643</v>
      </c>
      <c r="B140" s="162">
        <v>19.3</v>
      </c>
      <c r="C140" s="162">
        <v>24.1</v>
      </c>
    </row>
    <row r="141" spans="1:3" ht="325" x14ac:dyDescent="0.35">
      <c r="A141" s="165" t="s">
        <v>644</v>
      </c>
      <c r="B141" s="162">
        <v>19.3</v>
      </c>
      <c r="C141" s="162">
        <v>24.1</v>
      </c>
    </row>
    <row r="142" spans="1:3" ht="156" x14ac:dyDescent="0.35">
      <c r="A142" s="159" t="s">
        <v>192</v>
      </c>
      <c r="B142" s="162">
        <v>3</v>
      </c>
      <c r="C142" s="162">
        <v>7.47</v>
      </c>
    </row>
    <row r="143" spans="1:3" ht="208" x14ac:dyDescent="0.35">
      <c r="A143" s="161" t="s">
        <v>645</v>
      </c>
      <c r="B143" s="162">
        <v>12.67</v>
      </c>
      <c r="C143" s="162">
        <v>18.84</v>
      </c>
    </row>
    <row r="144" spans="1:3" ht="247" x14ac:dyDescent="0.35">
      <c r="A144" s="161" t="s">
        <v>646</v>
      </c>
      <c r="B144" s="162">
        <v>9.67</v>
      </c>
      <c r="C144" s="162">
        <v>11.37</v>
      </c>
    </row>
    <row r="145" spans="1:3" ht="39" x14ac:dyDescent="0.35">
      <c r="A145" s="157" t="s">
        <v>193</v>
      </c>
      <c r="B145" s="158"/>
      <c r="C145" s="158"/>
    </row>
    <row r="146" spans="1:3" ht="78" x14ac:dyDescent="0.35">
      <c r="A146" s="159" t="s">
        <v>197</v>
      </c>
      <c r="B146" s="162">
        <v>39.049999999999997</v>
      </c>
      <c r="C146" s="162">
        <v>47.16</v>
      </c>
    </row>
    <row r="147" spans="1:3" ht="91" x14ac:dyDescent="0.35">
      <c r="A147" s="159" t="s">
        <v>198</v>
      </c>
      <c r="B147" s="162">
        <v>39.049999999999997</v>
      </c>
      <c r="C147" s="162">
        <v>47.16</v>
      </c>
    </row>
    <row r="148" spans="1:3" ht="52" x14ac:dyDescent="0.35">
      <c r="A148" s="157" t="s">
        <v>199</v>
      </c>
      <c r="B148" s="158"/>
      <c r="C148" s="158"/>
    </row>
    <row r="149" spans="1:3" ht="26" x14ac:dyDescent="0.35">
      <c r="A149" s="159" t="s">
        <v>200</v>
      </c>
      <c r="B149" s="160">
        <v>1919.32</v>
      </c>
      <c r="C149" s="160">
        <v>995.9</v>
      </c>
    </row>
    <row r="150" spans="1:3" ht="39" x14ac:dyDescent="0.35">
      <c r="A150" s="159" t="s">
        <v>201</v>
      </c>
      <c r="B150" s="160">
        <v>1003.95</v>
      </c>
      <c r="C150" s="160">
        <v>1743.27</v>
      </c>
    </row>
    <row r="151" spans="1:3" ht="39" x14ac:dyDescent="0.35">
      <c r="A151" s="159" t="s">
        <v>203</v>
      </c>
      <c r="B151" s="160">
        <v>949.91</v>
      </c>
      <c r="C151" s="160">
        <v>1326.5</v>
      </c>
    </row>
    <row r="152" spans="1:3" ht="91" x14ac:dyDescent="0.35">
      <c r="A152" s="159" t="s">
        <v>204</v>
      </c>
      <c r="B152" s="162">
        <v>13.39</v>
      </c>
      <c r="C152" s="162">
        <v>42.21</v>
      </c>
    </row>
    <row r="153" spans="1:3" ht="39" x14ac:dyDescent="0.35">
      <c r="A153" s="159" t="s">
        <v>205</v>
      </c>
      <c r="B153" s="160">
        <v>633.52</v>
      </c>
      <c r="C153" s="160">
        <v>1168.6400000000001</v>
      </c>
    </row>
    <row r="154" spans="1:3" ht="78" x14ac:dyDescent="0.35">
      <c r="A154" s="161" t="s">
        <v>206</v>
      </c>
      <c r="B154" s="160">
        <v>342.23</v>
      </c>
      <c r="C154" s="160">
        <v>554.27</v>
      </c>
    </row>
    <row r="155" spans="1:3" ht="52" x14ac:dyDescent="0.35">
      <c r="A155" s="161" t="s">
        <v>207</v>
      </c>
      <c r="B155" s="160">
        <v>291.29000000000002</v>
      </c>
      <c r="C155" s="160">
        <v>614.38</v>
      </c>
    </row>
    <row r="156" spans="1:3" ht="26" x14ac:dyDescent="0.35">
      <c r="A156" s="157" t="s">
        <v>208</v>
      </c>
      <c r="B156" s="158"/>
      <c r="C156" s="158"/>
    </row>
    <row r="157" spans="1:3" x14ac:dyDescent="0.35">
      <c r="A157" s="159" t="s">
        <v>209</v>
      </c>
      <c r="B157" s="169">
        <v>-3339.77</v>
      </c>
      <c r="C157" s="169">
        <v>-4392.88</v>
      </c>
    </row>
    <row r="158" spans="1:3" ht="26" x14ac:dyDescent="0.35">
      <c r="A158" s="159" t="s">
        <v>210</v>
      </c>
      <c r="B158" s="162">
        <v>39.049999999999997</v>
      </c>
      <c r="C158" s="162">
        <v>47.16</v>
      </c>
    </row>
    <row r="159" spans="1:3" ht="78" x14ac:dyDescent="0.35">
      <c r="A159" s="159" t="s">
        <v>213</v>
      </c>
      <c r="B159" s="162">
        <v>16</v>
      </c>
      <c r="C159" s="168"/>
    </row>
    <row r="160" spans="1:3" ht="39" x14ac:dyDescent="0.35">
      <c r="A160" s="157" t="s">
        <v>223</v>
      </c>
      <c r="B160" s="158"/>
      <c r="C160" s="158"/>
    </row>
    <row r="161" spans="1:3" ht="52" x14ac:dyDescent="0.35">
      <c r="A161" s="159" t="s">
        <v>224</v>
      </c>
      <c r="B161" s="162">
        <v>45.55</v>
      </c>
      <c r="C161" s="162">
        <v>52.96</v>
      </c>
    </row>
    <row r="162" spans="1:3" ht="91" x14ac:dyDescent="0.35">
      <c r="A162" s="161" t="s">
        <v>225</v>
      </c>
      <c r="B162" s="162">
        <v>8.0500000000000007</v>
      </c>
      <c r="C162" s="162">
        <v>12.46</v>
      </c>
    </row>
    <row r="163" spans="1:3" ht="78" x14ac:dyDescent="0.35">
      <c r="A163" s="161" t="s">
        <v>227</v>
      </c>
      <c r="B163" s="162">
        <v>14.5</v>
      </c>
      <c r="C163" s="168"/>
    </row>
    <row r="164" spans="1:3" ht="78" x14ac:dyDescent="0.35">
      <c r="A164" s="161" t="s">
        <v>229</v>
      </c>
      <c r="B164" s="162">
        <v>11.17</v>
      </c>
      <c r="C164" s="162">
        <v>32.72</v>
      </c>
    </row>
    <row r="165" spans="1:3" ht="104" x14ac:dyDescent="0.35">
      <c r="A165" s="161" t="s">
        <v>230</v>
      </c>
      <c r="B165" s="162">
        <v>11.83</v>
      </c>
      <c r="C165" s="162">
        <v>7.79</v>
      </c>
    </row>
    <row r="166" spans="1:3" ht="65" x14ac:dyDescent="0.35">
      <c r="A166" s="159" t="s">
        <v>232</v>
      </c>
      <c r="B166" s="162">
        <v>14.5</v>
      </c>
      <c r="C166" s="168"/>
    </row>
    <row r="167" spans="1:3" ht="65" x14ac:dyDescent="0.35">
      <c r="A167" s="159" t="s">
        <v>233</v>
      </c>
      <c r="B167" s="162">
        <v>11.17</v>
      </c>
      <c r="C167" s="162">
        <v>32.72</v>
      </c>
    </row>
    <row r="168" spans="1:3" ht="78" x14ac:dyDescent="0.35">
      <c r="A168" s="159" t="s">
        <v>234</v>
      </c>
      <c r="B168" s="162">
        <v>11.83</v>
      </c>
      <c r="C168" s="162">
        <v>7.79</v>
      </c>
    </row>
    <row r="169" spans="1:3" x14ac:dyDescent="0.35">
      <c r="A169" s="157" t="s">
        <v>82</v>
      </c>
      <c r="B169" s="158"/>
      <c r="C169" s="158"/>
    </row>
    <row r="170" spans="1:3" ht="39" x14ac:dyDescent="0.35">
      <c r="A170" s="159" t="s">
        <v>240</v>
      </c>
      <c r="B170" s="160">
        <v>2713.25</v>
      </c>
      <c r="C170" s="160">
        <v>2087.63</v>
      </c>
    </row>
    <row r="171" spans="1:3" ht="26" x14ac:dyDescent="0.35">
      <c r="A171" s="159" t="s">
        <v>241</v>
      </c>
      <c r="B171" s="160">
        <v>4607.7299999999996</v>
      </c>
      <c r="C171" s="160">
        <v>5105.2</v>
      </c>
    </row>
    <row r="172" spans="1:3" ht="52" x14ac:dyDescent="0.35">
      <c r="A172" s="159" t="s">
        <v>242</v>
      </c>
      <c r="B172" s="160">
        <v>1499.94</v>
      </c>
      <c r="C172" s="160">
        <v>3491.29</v>
      </c>
    </row>
    <row r="173" spans="1:3" ht="65" x14ac:dyDescent="0.35">
      <c r="A173" s="159" t="s">
        <v>243</v>
      </c>
      <c r="B173" s="160">
        <v>3378.83</v>
      </c>
      <c r="C173" s="160">
        <v>4440.04</v>
      </c>
    </row>
    <row r="174" spans="1:3" ht="91" x14ac:dyDescent="0.35">
      <c r="A174" s="159" t="s">
        <v>244</v>
      </c>
      <c r="B174" s="162">
        <v>39.049999999999997</v>
      </c>
      <c r="C174" s="162">
        <v>47.16</v>
      </c>
    </row>
    <row r="175" spans="1:3" ht="52" x14ac:dyDescent="0.35">
      <c r="A175" s="159" t="s">
        <v>245</v>
      </c>
      <c r="B175" s="162">
        <v>49.7</v>
      </c>
      <c r="C175" s="162">
        <v>50.53</v>
      </c>
    </row>
    <row r="176" spans="1:3" ht="26" x14ac:dyDescent="0.35">
      <c r="A176" s="159" t="s">
        <v>246</v>
      </c>
      <c r="B176" s="160">
        <v>2158.5100000000002</v>
      </c>
      <c r="C176" s="160">
        <v>2930.21</v>
      </c>
    </row>
    <row r="177" spans="1:3" ht="39" x14ac:dyDescent="0.35">
      <c r="A177" s="159" t="s">
        <v>247</v>
      </c>
      <c r="B177" s="160">
        <v>2158.5100000000002</v>
      </c>
      <c r="C177" s="160">
        <v>2930.21</v>
      </c>
    </row>
    <row r="178" spans="1:3" ht="26" x14ac:dyDescent="0.35">
      <c r="A178" s="159" t="s">
        <v>248</v>
      </c>
      <c r="B178" s="162">
        <v>1.8</v>
      </c>
      <c r="C178" s="162">
        <v>3.09</v>
      </c>
    </row>
    <row r="179" spans="1:3" ht="39" x14ac:dyDescent="0.35">
      <c r="A179" s="159" t="s">
        <v>249</v>
      </c>
      <c r="B179" s="160">
        <v>5498.28</v>
      </c>
      <c r="C179" s="160">
        <v>7323.09</v>
      </c>
    </row>
    <row r="180" spans="1:3" ht="39" x14ac:dyDescent="0.35">
      <c r="A180" s="159" t="s">
        <v>250</v>
      </c>
      <c r="B180" s="160">
        <v>5316.84</v>
      </c>
      <c r="C180" s="160">
        <v>7050.99</v>
      </c>
    </row>
    <row r="181" spans="1:3" ht="39" x14ac:dyDescent="0.35">
      <c r="A181" s="159" t="s">
        <v>251</v>
      </c>
      <c r="B181" s="160">
        <v>5316.84</v>
      </c>
      <c r="C181" s="160">
        <v>7050.99</v>
      </c>
    </row>
    <row r="182" spans="1:3" ht="39" x14ac:dyDescent="0.35">
      <c r="A182" s="159" t="s">
        <v>252</v>
      </c>
      <c r="B182" s="160">
        <v>5537.34</v>
      </c>
      <c r="C182" s="160">
        <v>7370.25</v>
      </c>
    </row>
    <row r="183" spans="1:3" ht="26" x14ac:dyDescent="0.35">
      <c r="A183" s="159" t="s">
        <v>253</v>
      </c>
      <c r="B183" s="160">
        <v>5537.34</v>
      </c>
      <c r="C183" s="160">
        <v>7370.25</v>
      </c>
    </row>
    <row r="184" spans="1:3" ht="39" x14ac:dyDescent="0.35">
      <c r="A184" s="159" t="s">
        <v>254</v>
      </c>
      <c r="B184" s="160">
        <v>5532.61</v>
      </c>
      <c r="C184" s="160">
        <v>7362.51</v>
      </c>
    </row>
    <row r="185" spans="1:3" ht="52" x14ac:dyDescent="0.35">
      <c r="A185" s="159" t="s">
        <v>255</v>
      </c>
      <c r="B185" s="160">
        <v>1224.57</v>
      </c>
      <c r="C185" s="160">
        <v>1697.38</v>
      </c>
    </row>
    <row r="186" spans="1:3" ht="26" x14ac:dyDescent="0.35">
      <c r="A186" s="159" t="s">
        <v>256</v>
      </c>
      <c r="B186" s="160">
        <v>4213.1899999999996</v>
      </c>
      <c r="C186" s="160">
        <v>5578.92</v>
      </c>
    </row>
    <row r="187" spans="1:3" ht="39" x14ac:dyDescent="0.35">
      <c r="A187" s="159" t="s">
        <v>257</v>
      </c>
      <c r="B187" s="160">
        <v>834.36</v>
      </c>
      <c r="C187" s="160">
        <v>1138.8800000000001</v>
      </c>
    </row>
    <row r="188" spans="1:3" ht="91" x14ac:dyDescent="0.35">
      <c r="A188" s="159" t="s">
        <v>434</v>
      </c>
      <c r="B188" s="160">
        <v>4229.66</v>
      </c>
      <c r="C188" s="160">
        <v>5677.42</v>
      </c>
    </row>
    <row r="189" spans="1:3" ht="65" x14ac:dyDescent="0.35">
      <c r="A189" s="159" t="s">
        <v>258</v>
      </c>
      <c r="B189" s="160">
        <v>4511.17</v>
      </c>
      <c r="C189" s="160">
        <v>6052.71</v>
      </c>
    </row>
    <row r="190" spans="1:3" ht="26" x14ac:dyDescent="0.35">
      <c r="A190" s="157" t="s">
        <v>273</v>
      </c>
      <c r="B190" s="158"/>
      <c r="C190" s="158"/>
    </row>
    <row r="191" spans="1:3" ht="91" x14ac:dyDescent="0.35">
      <c r="A191" s="159" t="s">
        <v>274</v>
      </c>
      <c r="B191" s="160">
        <v>1599</v>
      </c>
      <c r="C191" s="160">
        <v>1863</v>
      </c>
    </row>
    <row r="192" spans="1:3" ht="104" x14ac:dyDescent="0.35">
      <c r="A192" s="159" t="s">
        <v>275</v>
      </c>
      <c r="B192" s="160">
        <v>1599</v>
      </c>
      <c r="C192" s="160">
        <v>1863</v>
      </c>
    </row>
    <row r="193" spans="1:3" x14ac:dyDescent="0.35">
      <c r="A193"/>
      <c r="B193"/>
      <c r="C193"/>
    </row>
    <row r="194" spans="1:3" x14ac:dyDescent="0.35">
      <c r="A194"/>
      <c r="B194"/>
      <c r="C194"/>
    </row>
    <row r="195" spans="1:3" x14ac:dyDescent="0.35">
      <c r="A195" s="151" t="s">
        <v>110</v>
      </c>
      <c r="B195" s="152" t="s">
        <v>111</v>
      </c>
      <c r="C195" s="152" t="s">
        <v>112</v>
      </c>
    </row>
    <row r="196" spans="1:3" x14ac:dyDescent="0.35">
      <c r="A196" s="153" t="s">
        <v>113</v>
      </c>
      <c r="B196" s="154">
        <v>45657</v>
      </c>
      <c r="C196" s="154">
        <v>46022</v>
      </c>
    </row>
    <row r="197" spans="1:3" x14ac:dyDescent="0.35">
      <c r="A197" s="153" t="s">
        <v>114</v>
      </c>
      <c r="B197" s="154" t="s">
        <v>115</v>
      </c>
      <c r="C197" s="154" t="s">
        <v>115</v>
      </c>
    </row>
    <row r="198" spans="1:3" ht="91.5" x14ac:dyDescent="0.35">
      <c r="A198" s="155" t="s">
        <v>276</v>
      </c>
      <c r="B198" s="151"/>
      <c r="C198" s="151"/>
    </row>
    <row r="199" spans="1:3" ht="26.5" x14ac:dyDescent="0.35">
      <c r="A199" s="155" t="s">
        <v>117</v>
      </c>
      <c r="B199" s="156" t="s">
        <v>118</v>
      </c>
      <c r="C199" s="156" t="s">
        <v>119</v>
      </c>
    </row>
    <row r="200" spans="1:3" x14ac:dyDescent="0.35">
      <c r="A200" s="157" t="s">
        <v>277</v>
      </c>
      <c r="B200" s="158"/>
      <c r="C200" s="158"/>
    </row>
    <row r="201" spans="1:3" ht="52" x14ac:dyDescent="0.35">
      <c r="A201" s="159" t="s">
        <v>278</v>
      </c>
      <c r="B201" s="160">
        <v>2190.23</v>
      </c>
      <c r="C201" s="160">
        <v>4151.32</v>
      </c>
    </row>
    <row r="202" spans="1:3" ht="104" x14ac:dyDescent="0.35">
      <c r="A202" s="161" t="s">
        <v>279</v>
      </c>
      <c r="B202" s="160">
        <v>2190.23</v>
      </c>
      <c r="C202" s="160">
        <v>4151.32</v>
      </c>
    </row>
    <row r="203" spans="1:3" ht="65" x14ac:dyDescent="0.35">
      <c r="A203" s="163" t="s">
        <v>64</v>
      </c>
      <c r="B203" s="164">
        <v>2190.23</v>
      </c>
      <c r="C203" s="164">
        <v>4151.32</v>
      </c>
    </row>
    <row r="204" spans="1:3" ht="26" x14ac:dyDescent="0.35">
      <c r="A204" s="157" t="s">
        <v>280</v>
      </c>
      <c r="B204" s="158"/>
      <c r="C204" s="158"/>
    </row>
    <row r="205" spans="1:3" ht="39" x14ac:dyDescent="0.35">
      <c r="A205" s="159" t="s">
        <v>281</v>
      </c>
      <c r="B205" s="160">
        <v>227.29</v>
      </c>
      <c r="C205" s="160">
        <v>450.67</v>
      </c>
    </row>
    <row r="206" spans="1:3" ht="52" x14ac:dyDescent="0.35">
      <c r="A206" s="161" t="s">
        <v>282</v>
      </c>
      <c r="B206" s="160">
        <v>227.29</v>
      </c>
      <c r="C206" s="160">
        <v>450.67</v>
      </c>
    </row>
    <row r="207" spans="1:3" ht="65" x14ac:dyDescent="0.35">
      <c r="A207" s="163" t="s">
        <v>68</v>
      </c>
      <c r="B207" s="164">
        <v>1962.94</v>
      </c>
      <c r="C207" s="164">
        <v>3700.65</v>
      </c>
    </row>
    <row r="208" spans="1:3" ht="78" x14ac:dyDescent="0.35">
      <c r="A208" s="159" t="s">
        <v>286</v>
      </c>
      <c r="B208" s="160">
        <v>2038.76</v>
      </c>
      <c r="C208" s="160">
        <v>2731.19</v>
      </c>
    </row>
    <row r="209" spans="1:3" ht="117" x14ac:dyDescent="0.35">
      <c r="A209" s="161" t="s">
        <v>287</v>
      </c>
      <c r="B209" s="160">
        <v>320.29000000000002</v>
      </c>
      <c r="C209" s="160">
        <v>464.07</v>
      </c>
    </row>
    <row r="210" spans="1:3" ht="260" x14ac:dyDescent="0.35">
      <c r="A210" s="161" t="s">
        <v>547</v>
      </c>
      <c r="B210" s="160">
        <v>424.92</v>
      </c>
      <c r="C210" s="160">
        <v>500.53</v>
      </c>
    </row>
    <row r="211" spans="1:3" ht="78" x14ac:dyDescent="0.35">
      <c r="A211" s="161" t="s">
        <v>529</v>
      </c>
      <c r="B211" s="160">
        <v>977.22</v>
      </c>
      <c r="C211" s="160">
        <v>1351.39</v>
      </c>
    </row>
    <row r="212" spans="1:3" ht="130" x14ac:dyDescent="0.35">
      <c r="A212" s="161" t="s">
        <v>800</v>
      </c>
      <c r="B212" s="162">
        <v>9.35</v>
      </c>
      <c r="C212" s="162">
        <v>19.82</v>
      </c>
    </row>
    <row r="213" spans="1:3" ht="117" x14ac:dyDescent="0.35">
      <c r="A213" s="161" t="s">
        <v>289</v>
      </c>
      <c r="B213" s="160">
        <v>306.99</v>
      </c>
      <c r="C213" s="160">
        <v>395.37</v>
      </c>
    </row>
    <row r="214" spans="1:3" ht="65" x14ac:dyDescent="0.35">
      <c r="A214" s="165" t="s">
        <v>577</v>
      </c>
      <c r="B214" s="160">
        <v>306.99</v>
      </c>
      <c r="C214" s="160">
        <v>395.37</v>
      </c>
    </row>
    <row r="215" spans="1:3" ht="65" x14ac:dyDescent="0.35">
      <c r="A215" s="159" t="s">
        <v>291</v>
      </c>
      <c r="B215" s="170">
        <v>-61.81</v>
      </c>
      <c r="C215" s="170">
        <v>-85.15</v>
      </c>
    </row>
    <row r="216" spans="1:3" ht="65" x14ac:dyDescent="0.35">
      <c r="A216" s="161" t="s">
        <v>448</v>
      </c>
      <c r="B216" s="162">
        <v>61.81</v>
      </c>
      <c r="C216" s="162">
        <v>85.15</v>
      </c>
    </row>
    <row r="217" spans="1:3" ht="39" x14ac:dyDescent="0.35">
      <c r="A217" s="159" t="s">
        <v>76</v>
      </c>
      <c r="B217" s="160">
        <v>2204.2399999999998</v>
      </c>
      <c r="C217" s="160">
        <v>3096.7</v>
      </c>
    </row>
    <row r="218" spans="1:3" ht="26" x14ac:dyDescent="0.35">
      <c r="A218" s="157" t="s">
        <v>292</v>
      </c>
      <c r="B218" s="158"/>
      <c r="C218" s="158"/>
    </row>
    <row r="219" spans="1:3" ht="91" x14ac:dyDescent="0.35">
      <c r="A219" s="163" t="s">
        <v>293</v>
      </c>
      <c r="B219" s="171">
        <v>-14.01</v>
      </c>
      <c r="C219" s="164">
        <v>1054.6199999999999</v>
      </c>
    </row>
    <row r="220" spans="1:3" ht="39" x14ac:dyDescent="0.35">
      <c r="A220" s="157" t="s">
        <v>294</v>
      </c>
      <c r="B220" s="158"/>
      <c r="C220" s="158"/>
    </row>
    <row r="221" spans="1:3" ht="65" x14ac:dyDescent="0.35">
      <c r="A221" s="159" t="s">
        <v>295</v>
      </c>
      <c r="B221" s="162">
        <v>88.07</v>
      </c>
      <c r="C221" s="160">
        <v>224.8</v>
      </c>
    </row>
    <row r="222" spans="1:3" ht="117" x14ac:dyDescent="0.35">
      <c r="A222" s="161" t="s">
        <v>81</v>
      </c>
      <c r="B222" s="169">
        <v>-136.66999999999999</v>
      </c>
      <c r="C222" s="169">
        <v>-159.01</v>
      </c>
    </row>
    <row r="223" spans="1:3" ht="91" x14ac:dyDescent="0.35">
      <c r="A223" s="165" t="s">
        <v>296</v>
      </c>
      <c r="B223" s="160">
        <v>138.74</v>
      </c>
      <c r="C223" s="160">
        <v>163.09</v>
      </c>
    </row>
    <row r="224" spans="1:3" ht="156" x14ac:dyDescent="0.35">
      <c r="A224" s="165" t="s">
        <v>297</v>
      </c>
      <c r="B224" s="162">
        <v>2.0699999999999998</v>
      </c>
      <c r="C224" s="162">
        <v>4.08</v>
      </c>
    </row>
    <row r="225" spans="1:3" ht="117" x14ac:dyDescent="0.35">
      <c r="A225" s="161" t="s">
        <v>300</v>
      </c>
      <c r="B225" s="170">
        <v>-48.6</v>
      </c>
      <c r="C225" s="162">
        <v>65.790000000000006</v>
      </c>
    </row>
    <row r="226" spans="1:3" ht="143" x14ac:dyDescent="0.35">
      <c r="A226" s="165" t="s">
        <v>301</v>
      </c>
      <c r="B226" s="170">
        <v>-48.21</v>
      </c>
      <c r="C226" s="162">
        <v>65.790000000000006</v>
      </c>
    </row>
    <row r="227" spans="1:3" ht="169" x14ac:dyDescent="0.35">
      <c r="A227" s="165" t="s">
        <v>650</v>
      </c>
      <c r="B227" s="170">
        <v>-0.39</v>
      </c>
      <c r="C227" s="168"/>
    </row>
    <row r="228" spans="1:3" ht="104" x14ac:dyDescent="0.35">
      <c r="A228" s="159" t="s">
        <v>303</v>
      </c>
      <c r="B228" s="170">
        <v>-7.64</v>
      </c>
      <c r="C228" s="170">
        <v>-12.39</v>
      </c>
    </row>
    <row r="229" spans="1:3" ht="39" x14ac:dyDescent="0.35">
      <c r="A229" s="159" t="s">
        <v>304</v>
      </c>
      <c r="B229" s="162">
        <v>66.41</v>
      </c>
      <c r="C229" s="160">
        <v>1267.03</v>
      </c>
    </row>
    <row r="230" spans="1:3" ht="52" x14ac:dyDescent="0.35">
      <c r="A230" s="157" t="s">
        <v>305</v>
      </c>
      <c r="B230" s="158"/>
      <c r="C230" s="158"/>
    </row>
    <row r="231" spans="1:3" ht="65" x14ac:dyDescent="0.35">
      <c r="A231" s="159" t="s">
        <v>306</v>
      </c>
      <c r="B231" s="162">
        <v>18.77</v>
      </c>
      <c r="C231" s="162">
        <v>11.58</v>
      </c>
    </row>
    <row r="232" spans="1:3" ht="104" x14ac:dyDescent="0.35">
      <c r="A232" s="161" t="s">
        <v>530</v>
      </c>
      <c r="B232" s="162">
        <v>18.77</v>
      </c>
      <c r="C232" s="162">
        <v>11.58</v>
      </c>
    </row>
    <row r="233" spans="1:3" ht="26" x14ac:dyDescent="0.35">
      <c r="A233" s="157" t="s">
        <v>313</v>
      </c>
      <c r="B233" s="158"/>
      <c r="C233" s="158"/>
    </row>
    <row r="234" spans="1:3" ht="39" x14ac:dyDescent="0.35">
      <c r="A234" s="163" t="s">
        <v>83</v>
      </c>
      <c r="B234" s="172">
        <v>85.18</v>
      </c>
      <c r="C234" s="164">
        <v>1278.6099999999999</v>
      </c>
    </row>
    <row r="235" spans="1:3" x14ac:dyDescent="0.35">
      <c r="A235" s="157" t="s">
        <v>314</v>
      </c>
      <c r="B235" s="158"/>
      <c r="C235" s="158"/>
    </row>
    <row r="236" spans="1:3" ht="26" x14ac:dyDescent="0.35">
      <c r="A236" s="159" t="s">
        <v>84</v>
      </c>
      <c r="B236" s="169">
        <v>-747.86</v>
      </c>
      <c r="C236" s="170">
        <v>-13.43</v>
      </c>
    </row>
    <row r="237" spans="1:3" ht="78" x14ac:dyDescent="0.35">
      <c r="A237" s="161" t="s">
        <v>315</v>
      </c>
      <c r="B237" s="162">
        <v>53.85</v>
      </c>
      <c r="C237" s="160">
        <v>338.04</v>
      </c>
    </row>
    <row r="238" spans="1:3" ht="117" x14ac:dyDescent="0.35">
      <c r="A238" s="165" t="s">
        <v>316</v>
      </c>
      <c r="B238" s="162">
        <v>53.46</v>
      </c>
      <c r="C238" s="160">
        <v>351.26</v>
      </c>
    </row>
    <row r="239" spans="1:3" ht="143" x14ac:dyDescent="0.35">
      <c r="A239" s="165" t="s">
        <v>557</v>
      </c>
      <c r="B239" s="162">
        <v>0.38</v>
      </c>
      <c r="C239" s="170">
        <v>-13.22</v>
      </c>
    </row>
    <row r="240" spans="1:3" ht="52" x14ac:dyDescent="0.35">
      <c r="A240" s="161" t="s">
        <v>318</v>
      </c>
      <c r="B240" s="169">
        <v>-801.7</v>
      </c>
      <c r="C240" s="169">
        <v>-351.47</v>
      </c>
    </row>
    <row r="241" spans="1:3" ht="104" x14ac:dyDescent="0.35">
      <c r="A241" s="165" t="s">
        <v>558</v>
      </c>
      <c r="B241" s="169">
        <v>-801.7</v>
      </c>
      <c r="C241" s="169">
        <v>-351.47</v>
      </c>
    </row>
    <row r="242" spans="1:3" ht="39" x14ac:dyDescent="0.35">
      <c r="A242" s="157" t="s">
        <v>321</v>
      </c>
      <c r="B242" s="158"/>
      <c r="C242" s="158"/>
    </row>
    <row r="243" spans="1:3" ht="39" x14ac:dyDescent="0.35">
      <c r="A243" s="159" t="s">
        <v>322</v>
      </c>
      <c r="B243" s="160">
        <v>833.04</v>
      </c>
      <c r="C243" s="160">
        <v>1292.04</v>
      </c>
    </row>
    <row r="244" spans="1:3" ht="39" x14ac:dyDescent="0.35">
      <c r="A244" s="157" t="s">
        <v>323</v>
      </c>
      <c r="B244" s="158"/>
      <c r="C244" s="158"/>
    </row>
    <row r="245" spans="1:3" ht="117" x14ac:dyDescent="0.35">
      <c r="A245" s="163" t="s">
        <v>324</v>
      </c>
      <c r="B245" s="164">
        <v>833.04</v>
      </c>
      <c r="C245" s="164">
        <v>1292.04</v>
      </c>
    </row>
    <row r="246" spans="1:3" ht="65" x14ac:dyDescent="0.35">
      <c r="A246" s="159" t="s">
        <v>327</v>
      </c>
      <c r="B246" s="160">
        <v>833.04</v>
      </c>
      <c r="C246" s="160">
        <v>1292.04</v>
      </c>
    </row>
    <row r="247" spans="1:3" ht="65" x14ac:dyDescent="0.35">
      <c r="A247" s="159" t="s">
        <v>85</v>
      </c>
      <c r="B247" s="160">
        <v>833.04</v>
      </c>
      <c r="C247" s="160">
        <v>1292.04</v>
      </c>
    </row>
    <row r="248" spans="1:3" ht="26" x14ac:dyDescent="0.35">
      <c r="A248" s="157" t="s">
        <v>328</v>
      </c>
      <c r="B248" s="158"/>
      <c r="C248" s="158"/>
    </row>
    <row r="249" spans="1:3" ht="65" x14ac:dyDescent="0.35">
      <c r="A249" s="163" t="s">
        <v>330</v>
      </c>
      <c r="B249" s="164">
        <v>833.04</v>
      </c>
      <c r="C249" s="164">
        <v>1292.04</v>
      </c>
    </row>
    <row r="250" spans="1:3" ht="52" x14ac:dyDescent="0.35">
      <c r="A250" s="157" t="s">
        <v>331</v>
      </c>
      <c r="B250" s="158"/>
      <c r="C250" s="158"/>
    </row>
    <row r="251" spans="1:3" ht="78" x14ac:dyDescent="0.35">
      <c r="A251" s="159" t="s">
        <v>332</v>
      </c>
      <c r="B251" s="160">
        <v>833.04</v>
      </c>
      <c r="C251" s="160">
        <v>1292.04</v>
      </c>
    </row>
    <row r="252" spans="1:3" ht="78" x14ac:dyDescent="0.35">
      <c r="A252" s="159" t="s">
        <v>333</v>
      </c>
      <c r="B252" s="170">
        <v>-4.71</v>
      </c>
      <c r="C252" s="162">
        <v>11.74</v>
      </c>
    </row>
    <row r="253" spans="1:3" ht="130" x14ac:dyDescent="0.35">
      <c r="A253" s="159" t="s">
        <v>334</v>
      </c>
      <c r="B253" s="170">
        <v>-0.65</v>
      </c>
      <c r="C253" s="170">
        <v>-4.8600000000000003</v>
      </c>
    </row>
    <row r="254" spans="1:3" ht="78" x14ac:dyDescent="0.35">
      <c r="A254" s="159" t="s">
        <v>338</v>
      </c>
      <c r="B254" s="170">
        <v>-5.36</v>
      </c>
      <c r="C254" s="162">
        <v>6.88</v>
      </c>
    </row>
    <row r="255" spans="1:3" ht="91" x14ac:dyDescent="0.35">
      <c r="A255" s="163" t="s">
        <v>339</v>
      </c>
      <c r="B255" s="164">
        <v>827.68</v>
      </c>
      <c r="C255" s="164">
        <v>1298.92</v>
      </c>
    </row>
    <row r="256" spans="1:3" ht="130" x14ac:dyDescent="0.35">
      <c r="A256" s="159" t="s">
        <v>340</v>
      </c>
      <c r="B256" s="160">
        <v>827.68</v>
      </c>
      <c r="C256" s="160">
        <v>1298.92</v>
      </c>
    </row>
    <row r="257" spans="1:3" ht="39" x14ac:dyDescent="0.35">
      <c r="A257" s="157" t="s">
        <v>341</v>
      </c>
      <c r="B257" s="158"/>
      <c r="C257" s="158"/>
    </row>
    <row r="258" spans="1:3" ht="143" x14ac:dyDescent="0.35">
      <c r="A258" s="159" t="s">
        <v>342</v>
      </c>
      <c r="B258" s="160">
        <v>833.04</v>
      </c>
      <c r="C258" s="160">
        <v>1292.04</v>
      </c>
    </row>
    <row r="259" spans="1:3" ht="130" x14ac:dyDescent="0.35">
      <c r="A259" s="161" t="s">
        <v>343</v>
      </c>
      <c r="B259" s="160">
        <v>833.04</v>
      </c>
      <c r="C259" s="160">
        <v>1292.04</v>
      </c>
    </row>
    <row r="260" spans="1:3" ht="91" x14ac:dyDescent="0.35">
      <c r="A260" s="161" t="s">
        <v>344</v>
      </c>
      <c r="B260" s="162">
        <v>59.86</v>
      </c>
      <c r="C260" s="162">
        <v>61.3</v>
      </c>
    </row>
    <row r="261" spans="1:3" ht="260" x14ac:dyDescent="0.35">
      <c r="A261" s="165" t="s">
        <v>345</v>
      </c>
      <c r="B261" s="162">
        <v>13.92</v>
      </c>
      <c r="C261" s="162">
        <v>21.08</v>
      </c>
    </row>
    <row r="262" spans="1:3" ht="260" x14ac:dyDescent="0.35">
      <c r="A262" s="165" t="s">
        <v>346</v>
      </c>
      <c r="B262" s="162">
        <v>13.92</v>
      </c>
      <c r="C262" s="162">
        <v>21.08</v>
      </c>
    </row>
    <row r="263" spans="1:3" ht="221" x14ac:dyDescent="0.35">
      <c r="A263" s="165" t="s">
        <v>347</v>
      </c>
      <c r="B263" s="162">
        <v>13.6</v>
      </c>
      <c r="C263" s="162">
        <v>20.89</v>
      </c>
    </row>
    <row r="264" spans="1:3" ht="156" x14ac:dyDescent="0.35">
      <c r="A264" s="159" t="s">
        <v>348</v>
      </c>
      <c r="B264" s="160">
        <v>833.04</v>
      </c>
      <c r="C264" s="160">
        <v>1292.04</v>
      </c>
    </row>
    <row r="265" spans="1:3" ht="78" x14ac:dyDescent="0.35">
      <c r="A265" s="159" t="s">
        <v>349</v>
      </c>
      <c r="B265" s="162">
        <v>1</v>
      </c>
      <c r="C265" s="162">
        <v>1</v>
      </c>
    </row>
    <row r="266" spans="1:3" ht="104" x14ac:dyDescent="0.35">
      <c r="A266" s="161" t="s">
        <v>350</v>
      </c>
      <c r="B266" s="162">
        <v>59.86</v>
      </c>
      <c r="C266" s="162">
        <v>61.3</v>
      </c>
    </row>
    <row r="267" spans="1:3" ht="286" x14ac:dyDescent="0.35">
      <c r="A267" s="165" t="s">
        <v>351</v>
      </c>
      <c r="B267" s="162">
        <v>13.92</v>
      </c>
      <c r="C267" s="162">
        <v>21.08</v>
      </c>
    </row>
    <row r="268" spans="1:3" ht="286" x14ac:dyDescent="0.35">
      <c r="A268" s="165" t="s">
        <v>352</v>
      </c>
      <c r="B268" s="162">
        <v>13.92</v>
      </c>
      <c r="C268" s="162">
        <v>21.08</v>
      </c>
    </row>
    <row r="269" spans="1:3" ht="247" x14ac:dyDescent="0.35">
      <c r="A269" s="165" t="s">
        <v>353</v>
      </c>
      <c r="B269" s="162">
        <v>13.6</v>
      </c>
      <c r="C269" s="162">
        <v>20.89</v>
      </c>
    </row>
    <row r="270" spans="1:3" ht="78" x14ac:dyDescent="0.35">
      <c r="A270" s="159" t="s">
        <v>349</v>
      </c>
      <c r="B270" s="168"/>
      <c r="C270" s="162">
        <v>1</v>
      </c>
    </row>
    <row r="271" spans="1:3" ht="117" x14ac:dyDescent="0.35">
      <c r="A271" s="161" t="s">
        <v>531</v>
      </c>
      <c r="B271" s="168"/>
      <c r="C271" s="162">
        <v>61.3</v>
      </c>
    </row>
    <row r="272" spans="1:3" ht="299" x14ac:dyDescent="0.35">
      <c r="A272" s="165" t="s">
        <v>532</v>
      </c>
      <c r="B272" s="168"/>
      <c r="C272" s="162">
        <v>21.08</v>
      </c>
    </row>
    <row r="273" spans="1:3" ht="299" x14ac:dyDescent="0.35">
      <c r="A273" s="165" t="s">
        <v>533</v>
      </c>
      <c r="B273" s="168"/>
      <c r="C273" s="162">
        <v>21.08</v>
      </c>
    </row>
    <row r="274" spans="1:3" ht="260" x14ac:dyDescent="0.35">
      <c r="A274" s="165" t="s">
        <v>534</v>
      </c>
      <c r="B274" s="168"/>
      <c r="C274" s="162">
        <v>20.89</v>
      </c>
    </row>
    <row r="275" spans="1:3" ht="117" x14ac:dyDescent="0.35">
      <c r="A275" s="159" t="s">
        <v>354</v>
      </c>
      <c r="B275" s="168">
        <v>0</v>
      </c>
      <c r="C275" s="168">
        <v>0</v>
      </c>
    </row>
    <row r="276" spans="1:3" ht="91" x14ac:dyDescent="0.35">
      <c r="A276" s="159" t="s">
        <v>355</v>
      </c>
      <c r="B276" s="162">
        <v>13.83</v>
      </c>
      <c r="C276" s="162">
        <v>21.19</v>
      </c>
    </row>
    <row r="277" spans="1:3" ht="104" x14ac:dyDescent="0.35">
      <c r="A277" s="159" t="s">
        <v>535</v>
      </c>
      <c r="B277" s="168"/>
      <c r="C277" s="162">
        <v>21.19</v>
      </c>
    </row>
    <row r="278" spans="1:3" ht="39" x14ac:dyDescent="0.35">
      <c r="A278" s="157" t="s">
        <v>356</v>
      </c>
      <c r="B278" s="158"/>
      <c r="C278" s="158"/>
    </row>
    <row r="279" spans="1:3" ht="143" x14ac:dyDescent="0.35">
      <c r="A279" s="159" t="s">
        <v>357</v>
      </c>
      <c r="B279" s="160">
        <v>833.04</v>
      </c>
      <c r="C279" s="160">
        <v>1292.04</v>
      </c>
    </row>
    <row r="280" spans="1:3" ht="143" x14ac:dyDescent="0.35">
      <c r="A280" s="161" t="s">
        <v>358</v>
      </c>
      <c r="B280" s="160">
        <v>833.04</v>
      </c>
      <c r="C280" s="160">
        <v>1292.04</v>
      </c>
    </row>
    <row r="281" spans="1:3" ht="91" x14ac:dyDescent="0.35">
      <c r="A281" s="161" t="s">
        <v>359</v>
      </c>
      <c r="B281" s="162">
        <v>65.180000000000007</v>
      </c>
      <c r="C281" s="162">
        <v>66.03</v>
      </c>
    </row>
    <row r="282" spans="1:3" ht="260" x14ac:dyDescent="0.35">
      <c r="A282" s="165" t="s">
        <v>360</v>
      </c>
      <c r="B282" s="162">
        <v>12.78</v>
      </c>
      <c r="C282" s="162">
        <v>19.57</v>
      </c>
    </row>
    <row r="283" spans="1:3" ht="260" x14ac:dyDescent="0.35">
      <c r="A283" s="165" t="s">
        <v>361</v>
      </c>
      <c r="B283" s="162">
        <v>12.78</v>
      </c>
      <c r="C283" s="162">
        <v>19.57</v>
      </c>
    </row>
    <row r="284" spans="1:3" ht="221" x14ac:dyDescent="0.35">
      <c r="A284" s="165" t="s">
        <v>362</v>
      </c>
      <c r="B284" s="162">
        <v>12.49</v>
      </c>
      <c r="C284" s="162">
        <v>19.39</v>
      </c>
    </row>
    <row r="285" spans="1:3" ht="169" x14ac:dyDescent="0.35">
      <c r="A285" s="159" t="s">
        <v>363</v>
      </c>
      <c r="B285" s="160">
        <v>833.04</v>
      </c>
      <c r="C285" s="160">
        <v>1292.04</v>
      </c>
    </row>
    <row r="286" spans="1:3" ht="78" x14ac:dyDescent="0.35">
      <c r="A286" s="159" t="s">
        <v>364</v>
      </c>
      <c r="B286" s="162">
        <v>1</v>
      </c>
      <c r="C286" s="162">
        <v>1</v>
      </c>
    </row>
    <row r="287" spans="1:3" ht="104" x14ac:dyDescent="0.35">
      <c r="A287" s="161" t="s">
        <v>365</v>
      </c>
      <c r="B287" s="162">
        <v>65.180000000000007</v>
      </c>
      <c r="C287" s="162">
        <v>66.03</v>
      </c>
    </row>
    <row r="288" spans="1:3" ht="286" x14ac:dyDescent="0.35">
      <c r="A288" s="165" t="s">
        <v>366</v>
      </c>
      <c r="B288" s="162">
        <v>12.78</v>
      </c>
      <c r="C288" s="162">
        <v>19.57</v>
      </c>
    </row>
    <row r="289" spans="1:3" ht="286" x14ac:dyDescent="0.35">
      <c r="A289" s="165" t="s">
        <v>367</v>
      </c>
      <c r="B289" s="162">
        <v>12.78</v>
      </c>
      <c r="C289" s="162">
        <v>19.57</v>
      </c>
    </row>
    <row r="290" spans="1:3" ht="247" x14ac:dyDescent="0.35">
      <c r="A290" s="165" t="s">
        <v>368</v>
      </c>
      <c r="B290" s="162">
        <v>12.49</v>
      </c>
      <c r="C290" s="162">
        <v>19.39</v>
      </c>
    </row>
    <row r="291" spans="1:3" ht="78" x14ac:dyDescent="0.35">
      <c r="A291" s="159" t="s">
        <v>364</v>
      </c>
      <c r="B291" s="168"/>
      <c r="C291" s="162">
        <v>1</v>
      </c>
    </row>
    <row r="292" spans="1:3" ht="117" x14ac:dyDescent="0.35">
      <c r="A292" s="161" t="s">
        <v>536</v>
      </c>
      <c r="B292" s="168"/>
      <c r="C292" s="162">
        <v>66.03</v>
      </c>
    </row>
    <row r="293" spans="1:3" ht="299" x14ac:dyDescent="0.35">
      <c r="A293" s="165" t="s">
        <v>537</v>
      </c>
      <c r="B293" s="168"/>
      <c r="C293" s="162">
        <v>19.57</v>
      </c>
    </row>
    <row r="294" spans="1:3" ht="299" x14ac:dyDescent="0.35">
      <c r="A294" s="165" t="s">
        <v>538</v>
      </c>
      <c r="B294" s="168"/>
      <c r="C294" s="162">
        <v>19.57</v>
      </c>
    </row>
    <row r="295" spans="1:3" ht="260" x14ac:dyDescent="0.35">
      <c r="A295" s="165" t="s">
        <v>539</v>
      </c>
      <c r="B295" s="168"/>
      <c r="C295" s="162">
        <v>19.39</v>
      </c>
    </row>
    <row r="296" spans="1:3" ht="130" x14ac:dyDescent="0.35">
      <c r="A296" s="159" t="s">
        <v>369</v>
      </c>
      <c r="B296" s="168">
        <v>0</v>
      </c>
      <c r="C296" s="168">
        <v>0</v>
      </c>
    </row>
    <row r="297" spans="1:3" ht="91" x14ac:dyDescent="0.35">
      <c r="A297" s="159" t="s">
        <v>370</v>
      </c>
      <c r="B297" s="162">
        <v>12.7</v>
      </c>
      <c r="C297" s="162">
        <v>19.670000000000002</v>
      </c>
    </row>
    <row r="298" spans="1:3" ht="104" x14ac:dyDescent="0.35">
      <c r="A298" s="159" t="s">
        <v>540</v>
      </c>
      <c r="B298" s="168"/>
      <c r="C298" s="162">
        <v>19.670000000000002</v>
      </c>
    </row>
    <row r="299" spans="1:3" ht="39" x14ac:dyDescent="0.35">
      <c r="A299" s="157" t="s">
        <v>371</v>
      </c>
      <c r="B299" s="158"/>
      <c r="C299" s="158"/>
    </row>
    <row r="300" spans="1:3" ht="91" x14ac:dyDescent="0.35">
      <c r="A300" s="159" t="s">
        <v>372</v>
      </c>
      <c r="B300" s="168">
        <v>0</v>
      </c>
      <c r="C300" s="168">
        <v>0</v>
      </c>
    </row>
    <row r="301" spans="1:3" ht="91" x14ac:dyDescent="0.35">
      <c r="A301" s="159" t="s">
        <v>373</v>
      </c>
      <c r="B301" s="168">
        <v>0</v>
      </c>
      <c r="C301" s="168">
        <v>0</v>
      </c>
    </row>
    <row r="302" spans="1:3" ht="39" x14ac:dyDescent="0.35">
      <c r="A302" s="157" t="s">
        <v>374</v>
      </c>
      <c r="B302" s="158"/>
      <c r="C302" s="158"/>
    </row>
    <row r="303" spans="1:3" ht="65" x14ac:dyDescent="0.35">
      <c r="A303" s="159" t="s">
        <v>78</v>
      </c>
      <c r="B303" s="170">
        <v>-14.01</v>
      </c>
      <c r="C303" s="160">
        <v>1054.6199999999999</v>
      </c>
    </row>
    <row r="304" spans="1:3" ht="117" x14ac:dyDescent="0.35">
      <c r="A304" s="159" t="s">
        <v>80</v>
      </c>
      <c r="B304" s="162">
        <v>3.52</v>
      </c>
      <c r="C304" s="160">
        <v>1082.72</v>
      </c>
    </row>
    <row r="305" spans="1:3" ht="65" x14ac:dyDescent="0.35">
      <c r="A305" s="157" t="s">
        <v>377</v>
      </c>
      <c r="B305" s="158"/>
      <c r="C305" s="158"/>
    </row>
    <row r="306" spans="1:3" ht="78" x14ac:dyDescent="0.35">
      <c r="A306" s="159" t="s">
        <v>378</v>
      </c>
      <c r="B306" s="162">
        <v>17.53</v>
      </c>
      <c r="C306" s="162">
        <v>28.1</v>
      </c>
    </row>
    <row r="307" spans="1:3" ht="91" x14ac:dyDescent="0.35">
      <c r="A307" s="161" t="s">
        <v>379</v>
      </c>
      <c r="B307" s="162">
        <v>7.25</v>
      </c>
      <c r="C307" s="162">
        <v>13.24</v>
      </c>
    </row>
    <row r="308" spans="1:3" ht="208" x14ac:dyDescent="0.35">
      <c r="A308" s="165" t="s">
        <v>380</v>
      </c>
      <c r="B308" s="162">
        <v>5.72</v>
      </c>
      <c r="C308" s="162">
        <v>10.41</v>
      </c>
    </row>
    <row r="309" spans="1:3" ht="65" x14ac:dyDescent="0.35">
      <c r="A309" s="161" t="s">
        <v>477</v>
      </c>
      <c r="B309" s="162">
        <v>10.28</v>
      </c>
      <c r="C309" s="162">
        <v>14.86</v>
      </c>
    </row>
    <row r="310" spans="1:3" ht="156" x14ac:dyDescent="0.35">
      <c r="A310" s="165" t="s">
        <v>497</v>
      </c>
      <c r="B310" s="162">
        <v>10.28</v>
      </c>
      <c r="C310" s="162">
        <v>14.86</v>
      </c>
    </row>
    <row r="311" spans="1:3" ht="409.5" x14ac:dyDescent="0.35">
      <c r="A311" s="166" t="s">
        <v>654</v>
      </c>
      <c r="B311" s="162">
        <v>0.21</v>
      </c>
      <c r="C311" s="168"/>
    </row>
    <row r="312" spans="1:3" ht="409.5" x14ac:dyDescent="0.35">
      <c r="A312" s="166" t="s">
        <v>581</v>
      </c>
      <c r="B312" s="162">
        <v>10.07</v>
      </c>
      <c r="C312" s="162">
        <v>10.41</v>
      </c>
    </row>
    <row r="313" spans="1:3" ht="52" x14ac:dyDescent="0.35">
      <c r="A313" s="157" t="s">
        <v>381</v>
      </c>
      <c r="B313" s="158"/>
      <c r="C313" s="158"/>
    </row>
    <row r="314" spans="1:3" ht="78" x14ac:dyDescent="0.35">
      <c r="A314" s="159" t="s">
        <v>79</v>
      </c>
      <c r="B314" s="162">
        <v>17.53</v>
      </c>
      <c r="C314" s="162">
        <v>28.1</v>
      </c>
    </row>
    <row r="315" spans="1:3" ht="39" x14ac:dyDescent="0.35">
      <c r="A315" s="161" t="s">
        <v>382</v>
      </c>
      <c r="B315" s="162">
        <v>7.25</v>
      </c>
      <c r="C315" s="162">
        <v>13.24</v>
      </c>
    </row>
    <row r="316" spans="1:3" ht="143" x14ac:dyDescent="0.35">
      <c r="A316" s="161" t="s">
        <v>498</v>
      </c>
      <c r="B316" s="162">
        <v>10.28</v>
      </c>
      <c r="C316" s="162">
        <v>14.86</v>
      </c>
    </row>
    <row r="317" spans="1:3" ht="52" x14ac:dyDescent="0.35">
      <c r="A317" s="157" t="s">
        <v>383</v>
      </c>
      <c r="B317" s="158"/>
      <c r="C317" s="158"/>
    </row>
    <row r="318" spans="1:3" ht="143" x14ac:dyDescent="0.35">
      <c r="A318" s="159" t="s">
        <v>384</v>
      </c>
      <c r="B318" s="160">
        <v>977.22</v>
      </c>
      <c r="C318" s="160">
        <v>1351.39</v>
      </c>
    </row>
    <row r="319" spans="1:3" ht="104" x14ac:dyDescent="0.35">
      <c r="A319" s="161" t="s">
        <v>72</v>
      </c>
      <c r="B319" s="160">
        <v>977.22</v>
      </c>
      <c r="C319" s="160">
        <v>1351.39</v>
      </c>
    </row>
    <row r="320" spans="1:3" ht="39" x14ac:dyDescent="0.35">
      <c r="A320" s="157" t="s">
        <v>385</v>
      </c>
      <c r="B320" s="158"/>
      <c r="C320" s="158"/>
    </row>
    <row r="321" spans="1:3" ht="52" x14ac:dyDescent="0.35">
      <c r="A321" s="159" t="s">
        <v>548</v>
      </c>
      <c r="B321" s="160">
        <v>964.05</v>
      </c>
      <c r="C321" s="160">
        <v>1127.58</v>
      </c>
    </row>
    <row r="322" spans="1:3" ht="65" x14ac:dyDescent="0.35">
      <c r="A322" s="159" t="s">
        <v>386</v>
      </c>
      <c r="B322" s="160">
        <v>735.91</v>
      </c>
      <c r="C322" s="160">
        <v>889.09</v>
      </c>
    </row>
    <row r="323" spans="1:3" ht="117" x14ac:dyDescent="0.35">
      <c r="A323" s="161" t="s">
        <v>387</v>
      </c>
      <c r="B323" s="160">
        <v>171.11</v>
      </c>
      <c r="C323" s="160">
        <v>178.87</v>
      </c>
    </row>
    <row r="324" spans="1:3" ht="208" x14ac:dyDescent="0.35">
      <c r="A324" s="165" t="s">
        <v>388</v>
      </c>
      <c r="B324" s="160">
        <v>228.14</v>
      </c>
      <c r="C324" s="160">
        <v>238.49</v>
      </c>
    </row>
    <row r="325" spans="1:3" ht="195" x14ac:dyDescent="0.35">
      <c r="A325" s="165" t="s">
        <v>389</v>
      </c>
      <c r="B325" s="162">
        <v>57.04</v>
      </c>
      <c r="C325" s="162">
        <v>59.62</v>
      </c>
    </row>
    <row r="326" spans="1:3" ht="26" x14ac:dyDescent="0.35">
      <c r="A326" s="157" t="s">
        <v>390</v>
      </c>
      <c r="B326" s="158"/>
      <c r="C326" s="158"/>
    </row>
    <row r="327" spans="1:3" ht="26" x14ac:dyDescent="0.35">
      <c r="A327" s="159" t="s">
        <v>390</v>
      </c>
      <c r="B327" s="162">
        <v>3.25</v>
      </c>
      <c r="C327" s="162">
        <v>3.34</v>
      </c>
    </row>
    <row r="328" spans="1:3" ht="39" x14ac:dyDescent="0.35">
      <c r="A328" s="161" t="s">
        <v>391</v>
      </c>
      <c r="B328" s="162">
        <v>3.25</v>
      </c>
      <c r="C328" s="162">
        <v>3.34</v>
      </c>
    </row>
    <row r="329" spans="1:3" ht="26" x14ac:dyDescent="0.35">
      <c r="A329" s="157" t="s">
        <v>393</v>
      </c>
      <c r="B329" s="158"/>
      <c r="C329" s="158"/>
    </row>
    <row r="330" spans="1:3" ht="39" x14ac:dyDescent="0.35">
      <c r="A330" s="159" t="s">
        <v>394</v>
      </c>
      <c r="B330" s="160">
        <v>814.27</v>
      </c>
      <c r="C330" s="160">
        <v>1280.45</v>
      </c>
    </row>
    <row r="331" spans="1:3" ht="104" x14ac:dyDescent="0.35">
      <c r="A331" s="159" t="s">
        <v>395</v>
      </c>
      <c r="B331" s="160">
        <v>814.27</v>
      </c>
      <c r="C331" s="160">
        <v>1280.45</v>
      </c>
    </row>
    <row r="332" spans="1:3" ht="65" x14ac:dyDescent="0.35">
      <c r="A332" s="159" t="s">
        <v>396</v>
      </c>
      <c r="B332" s="160">
        <v>814.27</v>
      </c>
      <c r="C332" s="160">
        <v>1280.45</v>
      </c>
    </row>
    <row r="333" spans="1:3" ht="91" x14ac:dyDescent="0.35">
      <c r="A333" s="159" t="s">
        <v>397</v>
      </c>
      <c r="B333" s="170">
        <v>-70.260000000000005</v>
      </c>
      <c r="C333" s="160">
        <v>1108.02</v>
      </c>
    </row>
    <row r="334" spans="1:3" ht="143" x14ac:dyDescent="0.35">
      <c r="A334" s="159" t="s">
        <v>398</v>
      </c>
      <c r="B334" s="170">
        <v>-52.73</v>
      </c>
      <c r="C334" s="160">
        <v>1136.1199999999999</v>
      </c>
    </row>
    <row r="335" spans="1:3" ht="26" x14ac:dyDescent="0.35">
      <c r="A335" s="157" t="s">
        <v>399</v>
      </c>
      <c r="B335" s="158"/>
      <c r="C335" s="158"/>
    </row>
    <row r="336" spans="1:3" ht="65" x14ac:dyDescent="0.35">
      <c r="A336" s="159" t="s">
        <v>400</v>
      </c>
      <c r="B336" s="168"/>
      <c r="C336" s="168"/>
    </row>
    <row r="337" spans="1:3" ht="130" x14ac:dyDescent="0.35">
      <c r="A337" s="161" t="s">
        <v>402</v>
      </c>
      <c r="B337" s="162">
        <v>5.72</v>
      </c>
      <c r="C337" s="162">
        <v>10.41</v>
      </c>
    </row>
    <row r="338" spans="1:3" ht="130" x14ac:dyDescent="0.35">
      <c r="A338" s="161" t="s">
        <v>403</v>
      </c>
      <c r="B338" s="162">
        <v>2.0699999999999998</v>
      </c>
      <c r="C338" s="162">
        <v>3.18</v>
      </c>
    </row>
    <row r="339" spans="1:3" ht="78" x14ac:dyDescent="0.35">
      <c r="A339" s="161" t="s">
        <v>404</v>
      </c>
      <c r="B339" s="162">
        <v>1.56</v>
      </c>
      <c r="C339" s="168"/>
    </row>
    <row r="340" spans="1:3" x14ac:dyDescent="0.35">
      <c r="A340" s="157" t="s">
        <v>82</v>
      </c>
      <c r="B340" s="158"/>
      <c r="C340" s="158"/>
    </row>
    <row r="341" spans="1:3" ht="65" x14ac:dyDescent="0.35">
      <c r="A341" s="159" t="s">
        <v>582</v>
      </c>
      <c r="B341" s="160">
        <v>306.99</v>
      </c>
      <c r="C341" s="160">
        <v>395.37</v>
      </c>
    </row>
    <row r="342" spans="1:3" ht="117" x14ac:dyDescent="0.35">
      <c r="A342" s="159" t="s">
        <v>406</v>
      </c>
      <c r="B342" s="160">
        <v>227.29</v>
      </c>
      <c r="C342" s="160">
        <v>450.67</v>
      </c>
    </row>
    <row r="343" spans="1:3" ht="65" x14ac:dyDescent="0.35">
      <c r="A343" s="159" t="s">
        <v>407</v>
      </c>
      <c r="B343" s="160">
        <v>227.29</v>
      </c>
      <c r="C343" s="160">
        <v>450.67</v>
      </c>
    </row>
    <row r="344" spans="1:3" ht="26" x14ac:dyDescent="0.35">
      <c r="A344" s="159" t="s">
        <v>408</v>
      </c>
      <c r="B344" s="162">
        <v>2.0699999999999998</v>
      </c>
      <c r="C344" s="162">
        <v>4.08</v>
      </c>
    </row>
    <row r="345" spans="1:3" ht="26" x14ac:dyDescent="0.35">
      <c r="A345" s="159" t="s">
        <v>280</v>
      </c>
      <c r="B345" s="160">
        <v>2204.2399999999998</v>
      </c>
      <c r="C345" s="160">
        <v>3096.7</v>
      </c>
    </row>
    <row r="346" spans="1:3" ht="143" x14ac:dyDescent="0.35">
      <c r="A346" s="159" t="s">
        <v>70</v>
      </c>
      <c r="B346" s="160">
        <v>1061.54</v>
      </c>
      <c r="C346" s="160">
        <v>1379.8</v>
      </c>
    </row>
    <row r="347" spans="1:3" ht="26" x14ac:dyDescent="0.35">
      <c r="A347" s="157" t="s">
        <v>273</v>
      </c>
      <c r="B347" s="158"/>
      <c r="C347" s="158"/>
    </row>
    <row r="348" spans="1:3" ht="39" x14ac:dyDescent="0.35">
      <c r="A348" s="159" t="s">
        <v>801</v>
      </c>
      <c r="B348" s="160">
        <v>1639</v>
      </c>
      <c r="C348" s="160">
        <v>2009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53"/>
  <sheetViews>
    <sheetView workbookViewId="0">
      <selection activeCell="A2" sqref="A2"/>
    </sheetView>
  </sheetViews>
  <sheetFormatPr defaultRowHeight="14.5" x14ac:dyDescent="0.35"/>
  <cols>
    <col min="1" max="1" width="31.81640625" style="11" bestFit="1" customWidth="1"/>
    <col min="2" max="2" width="27.453125" style="11" bestFit="1" customWidth="1"/>
    <col min="3" max="3" width="9.1796875" style="11" bestFit="1" customWidth="1"/>
    <col min="4" max="16384" width="8.7265625" style="11"/>
  </cols>
  <sheetData>
    <row r="1" spans="1:3" ht="15" thickBot="1" x14ac:dyDescent="0.4">
      <c r="A1" s="146" t="s">
        <v>94</v>
      </c>
      <c r="B1" s="147"/>
      <c r="C1" s="147"/>
    </row>
    <row r="2" spans="1:3" ht="15" thickTop="1" x14ac:dyDescent="0.35">
      <c r="A2" s="148" t="s">
        <v>95</v>
      </c>
      <c r="B2" s="149" t="s">
        <v>803</v>
      </c>
      <c r="C2"/>
    </row>
    <row r="3" spans="1:3" x14ac:dyDescent="0.35">
      <c r="A3" s="148" t="s">
        <v>97</v>
      </c>
      <c r="B3" s="148" t="s">
        <v>98</v>
      </c>
      <c r="C3"/>
    </row>
    <row r="4" spans="1:3" x14ac:dyDescent="0.35">
      <c r="A4" s="148" t="s">
        <v>99</v>
      </c>
      <c r="B4" s="148" t="s">
        <v>624</v>
      </c>
      <c r="C4"/>
    </row>
    <row r="5" spans="1:3" x14ac:dyDescent="0.35">
      <c r="A5" s="148" t="s">
        <v>100</v>
      </c>
      <c r="B5" s="148" t="s">
        <v>488</v>
      </c>
      <c r="C5"/>
    </row>
    <row r="6" spans="1:3" x14ac:dyDescent="0.35">
      <c r="A6" s="148" t="s">
        <v>101</v>
      </c>
      <c r="B6" s="148" t="s">
        <v>102</v>
      </c>
      <c r="C6"/>
    </row>
    <row r="7" spans="1:3" x14ac:dyDescent="0.35">
      <c r="A7" s="148" t="s">
        <v>103</v>
      </c>
      <c r="B7" s="148" t="s">
        <v>104</v>
      </c>
      <c r="C7"/>
    </row>
    <row r="8" spans="1:3" x14ac:dyDescent="0.35">
      <c r="A8" s="148" t="s">
        <v>105</v>
      </c>
      <c r="B8" s="148" t="s">
        <v>106</v>
      </c>
      <c r="C8"/>
    </row>
    <row r="9" spans="1:3" x14ac:dyDescent="0.35">
      <c r="A9" s="148" t="s">
        <v>107</v>
      </c>
      <c r="B9" s="148" t="s">
        <v>108</v>
      </c>
      <c r="C9"/>
    </row>
    <row r="10" spans="1:3" x14ac:dyDescent="0.35">
      <c r="A10" s="148" t="s">
        <v>109</v>
      </c>
      <c r="B10" s="150">
        <v>46296.859934351902</v>
      </c>
      <c r="C10"/>
    </row>
    <row r="11" spans="1:3" x14ac:dyDescent="0.35">
      <c r="A11" s="151" t="s">
        <v>110</v>
      </c>
      <c r="B11" s="152" t="s">
        <v>111</v>
      </c>
      <c r="C11" s="152" t="s">
        <v>112</v>
      </c>
    </row>
    <row r="12" spans="1:3" x14ac:dyDescent="0.35">
      <c r="A12" s="153" t="s">
        <v>113</v>
      </c>
      <c r="B12" s="154">
        <v>45657</v>
      </c>
      <c r="C12" s="154">
        <v>46022</v>
      </c>
    </row>
    <row r="13" spans="1:3" x14ac:dyDescent="0.35">
      <c r="A13" s="153" t="s">
        <v>114</v>
      </c>
      <c r="B13" s="154" t="s">
        <v>115</v>
      </c>
      <c r="C13" s="154" t="s">
        <v>115</v>
      </c>
    </row>
    <row r="14" spans="1:3" ht="78.5" x14ac:dyDescent="0.35">
      <c r="A14" s="155" t="s">
        <v>116</v>
      </c>
      <c r="B14" s="151"/>
      <c r="C14" s="151"/>
    </row>
    <row r="15" spans="1:3" ht="26.5" x14ac:dyDescent="0.35">
      <c r="A15" s="155" t="s">
        <v>117</v>
      </c>
      <c r="B15" s="156" t="s">
        <v>118</v>
      </c>
      <c r="C15" s="156" t="s">
        <v>119</v>
      </c>
    </row>
    <row r="16" spans="1:3" ht="26" x14ac:dyDescent="0.35">
      <c r="A16" s="157" t="s">
        <v>120</v>
      </c>
      <c r="B16" s="158"/>
      <c r="C16" s="158"/>
    </row>
    <row r="17" spans="1:3" ht="65" x14ac:dyDescent="0.35">
      <c r="A17" s="159" t="s">
        <v>121</v>
      </c>
      <c r="B17" s="160">
        <v>2627.41</v>
      </c>
      <c r="C17" s="160">
        <v>4547.53</v>
      </c>
    </row>
    <row r="18" spans="1:3" ht="52" x14ac:dyDescent="0.35">
      <c r="A18" s="161" t="s">
        <v>12</v>
      </c>
      <c r="B18" s="160">
        <v>2627.41</v>
      </c>
      <c r="C18" s="160">
        <v>4547.53</v>
      </c>
    </row>
    <row r="19" spans="1:3" ht="65" x14ac:dyDescent="0.35">
      <c r="A19" s="159" t="s">
        <v>122</v>
      </c>
      <c r="B19" s="160">
        <v>709.11</v>
      </c>
      <c r="C19" s="160">
        <v>886.86</v>
      </c>
    </row>
    <row r="20" spans="1:3" ht="104" x14ac:dyDescent="0.35">
      <c r="A20" s="161" t="s">
        <v>16</v>
      </c>
      <c r="B20" s="160">
        <v>676.28</v>
      </c>
      <c r="C20" s="160">
        <v>865.08</v>
      </c>
    </row>
    <row r="21" spans="1:3" ht="52" x14ac:dyDescent="0.35">
      <c r="A21" s="161" t="s">
        <v>455</v>
      </c>
      <c r="B21" s="162">
        <v>32.83</v>
      </c>
      <c r="C21" s="162">
        <v>21.78</v>
      </c>
    </row>
    <row r="22" spans="1:3" ht="26" x14ac:dyDescent="0.35">
      <c r="A22" s="159" t="s">
        <v>18</v>
      </c>
      <c r="B22" s="160">
        <v>494.99</v>
      </c>
      <c r="C22" s="160">
        <v>608.23</v>
      </c>
    </row>
    <row r="23" spans="1:3" ht="65" x14ac:dyDescent="0.35">
      <c r="A23" s="161" t="s">
        <v>125</v>
      </c>
      <c r="B23" s="160">
        <v>170.58</v>
      </c>
      <c r="C23" s="168"/>
    </row>
    <row r="24" spans="1:3" ht="78" x14ac:dyDescent="0.35">
      <c r="A24" s="161" t="s">
        <v>499</v>
      </c>
      <c r="B24" s="162">
        <v>60.12</v>
      </c>
      <c r="C24" s="168"/>
    </row>
    <row r="25" spans="1:3" ht="65" x14ac:dyDescent="0.35">
      <c r="A25" s="161" t="s">
        <v>126</v>
      </c>
      <c r="B25" s="160">
        <v>264.27999999999997</v>
      </c>
      <c r="C25" s="168"/>
    </row>
    <row r="26" spans="1:3" ht="52" x14ac:dyDescent="0.35">
      <c r="A26" s="159" t="s">
        <v>127</v>
      </c>
      <c r="B26" s="160">
        <v>134.9</v>
      </c>
      <c r="C26" s="160">
        <v>130.72999999999999</v>
      </c>
    </row>
    <row r="27" spans="1:3" ht="52" x14ac:dyDescent="0.35">
      <c r="A27" s="159" t="s">
        <v>410</v>
      </c>
      <c r="B27" s="162">
        <v>25.19</v>
      </c>
      <c r="C27" s="162">
        <v>60.24</v>
      </c>
    </row>
    <row r="28" spans="1:3" ht="78" x14ac:dyDescent="0.35">
      <c r="A28" s="161" t="s">
        <v>411</v>
      </c>
      <c r="B28" s="162">
        <v>9.31</v>
      </c>
      <c r="C28" s="162">
        <v>41.28</v>
      </c>
    </row>
    <row r="29" spans="1:3" ht="52" x14ac:dyDescent="0.35">
      <c r="A29" s="161" t="s">
        <v>20</v>
      </c>
      <c r="B29" s="162">
        <v>15.88</v>
      </c>
      <c r="C29" s="162">
        <v>18.96</v>
      </c>
    </row>
    <row r="30" spans="1:3" ht="39" x14ac:dyDescent="0.35">
      <c r="A30" s="163" t="s">
        <v>22</v>
      </c>
      <c r="B30" s="164">
        <v>3991.59</v>
      </c>
      <c r="C30" s="164">
        <v>6233.59</v>
      </c>
    </row>
    <row r="31" spans="1:3" ht="39" x14ac:dyDescent="0.35">
      <c r="A31" s="157" t="s">
        <v>128</v>
      </c>
      <c r="B31" s="158"/>
      <c r="C31" s="158"/>
    </row>
    <row r="32" spans="1:3" ht="39" x14ac:dyDescent="0.35">
      <c r="A32" s="159" t="s">
        <v>25</v>
      </c>
      <c r="B32" s="160">
        <v>128.93</v>
      </c>
      <c r="C32" s="162">
        <v>61.68</v>
      </c>
    </row>
    <row r="33" spans="1:3" ht="130" x14ac:dyDescent="0.35">
      <c r="A33" s="161" t="s">
        <v>129</v>
      </c>
      <c r="B33" s="160">
        <v>128.93</v>
      </c>
      <c r="C33" s="162">
        <v>61.68</v>
      </c>
    </row>
    <row r="34" spans="1:3" ht="65" x14ac:dyDescent="0.35">
      <c r="A34" s="159" t="s">
        <v>27</v>
      </c>
      <c r="B34" s="160">
        <v>1717.73</v>
      </c>
      <c r="C34" s="160">
        <v>1789.86</v>
      </c>
    </row>
    <row r="35" spans="1:3" ht="156" x14ac:dyDescent="0.35">
      <c r="A35" s="161" t="s">
        <v>133</v>
      </c>
      <c r="B35" s="160">
        <v>1717.73</v>
      </c>
      <c r="C35" s="160">
        <v>1789.86</v>
      </c>
    </row>
    <row r="36" spans="1:3" ht="91" x14ac:dyDescent="0.35">
      <c r="A36" s="161" t="s">
        <v>134</v>
      </c>
      <c r="B36" s="160">
        <v>2116.84</v>
      </c>
      <c r="C36" s="160">
        <v>2318.56</v>
      </c>
    </row>
    <row r="37" spans="1:3" ht="221" x14ac:dyDescent="0.35">
      <c r="A37" s="165" t="s">
        <v>135</v>
      </c>
      <c r="B37" s="160">
        <v>2116.84</v>
      </c>
      <c r="C37" s="160">
        <v>2318.56</v>
      </c>
    </row>
    <row r="38" spans="1:3" ht="234" x14ac:dyDescent="0.35">
      <c r="A38" s="166" t="s">
        <v>458</v>
      </c>
      <c r="B38" s="160">
        <v>738.02</v>
      </c>
      <c r="C38" s="160">
        <v>1335.84</v>
      </c>
    </row>
    <row r="39" spans="1:3" ht="299" x14ac:dyDescent="0.35">
      <c r="A39" s="167" t="s">
        <v>459</v>
      </c>
      <c r="B39" s="162">
        <v>65.489999999999995</v>
      </c>
      <c r="C39" s="162">
        <v>71.430000000000007</v>
      </c>
    </row>
    <row r="40" spans="1:3" ht="195" x14ac:dyDescent="0.35">
      <c r="A40" s="167" t="s">
        <v>460</v>
      </c>
      <c r="B40" s="160">
        <v>607.86</v>
      </c>
      <c r="C40" s="160">
        <v>1187.8399999999999</v>
      </c>
    </row>
    <row r="41" spans="1:3" ht="351" x14ac:dyDescent="0.35">
      <c r="A41" s="167" t="s">
        <v>507</v>
      </c>
      <c r="B41" s="162">
        <v>64.680000000000007</v>
      </c>
      <c r="C41" s="162">
        <v>76.569999999999993</v>
      </c>
    </row>
    <row r="42" spans="1:3" ht="364" x14ac:dyDescent="0.35">
      <c r="A42" s="166" t="s">
        <v>447</v>
      </c>
      <c r="B42" s="160">
        <v>585.49</v>
      </c>
      <c r="C42" s="160">
        <v>707.38</v>
      </c>
    </row>
    <row r="43" spans="1:3" ht="409.5" x14ac:dyDescent="0.35">
      <c r="A43" s="167" t="s">
        <v>543</v>
      </c>
      <c r="B43" s="160">
        <v>100.35</v>
      </c>
      <c r="C43" s="160">
        <v>124.14</v>
      </c>
    </row>
    <row r="44" spans="1:3" ht="325" x14ac:dyDescent="0.35">
      <c r="A44" s="166" t="s">
        <v>462</v>
      </c>
      <c r="B44" s="160">
        <v>654.02</v>
      </c>
      <c r="C44" s="160">
        <v>127.16</v>
      </c>
    </row>
    <row r="45" spans="1:3" ht="403" x14ac:dyDescent="0.35">
      <c r="A45" s="166" t="s">
        <v>136</v>
      </c>
      <c r="B45" s="160">
        <v>139.31</v>
      </c>
      <c r="C45" s="160">
        <v>148.18</v>
      </c>
    </row>
    <row r="46" spans="1:3" ht="409.5" x14ac:dyDescent="0.35">
      <c r="A46" s="167" t="s">
        <v>137</v>
      </c>
      <c r="B46" s="160">
        <v>139.31</v>
      </c>
      <c r="C46" s="160">
        <v>148.18</v>
      </c>
    </row>
    <row r="47" spans="1:3" ht="156" x14ac:dyDescent="0.35">
      <c r="A47" s="161" t="s">
        <v>139</v>
      </c>
      <c r="B47" s="160">
        <v>399.11</v>
      </c>
      <c r="C47" s="160">
        <v>528.70000000000005</v>
      </c>
    </row>
    <row r="48" spans="1:3" ht="351" x14ac:dyDescent="0.35">
      <c r="A48" s="165" t="s">
        <v>140</v>
      </c>
      <c r="B48" s="160">
        <v>399.11</v>
      </c>
      <c r="C48" s="160">
        <v>528.70000000000005</v>
      </c>
    </row>
    <row r="49" spans="1:3" ht="65" x14ac:dyDescent="0.35">
      <c r="A49" s="159" t="s">
        <v>141</v>
      </c>
      <c r="B49" s="162">
        <v>31.56</v>
      </c>
      <c r="C49" s="162">
        <v>40.74</v>
      </c>
    </row>
    <row r="50" spans="1:3" ht="78" x14ac:dyDescent="0.35">
      <c r="A50" s="161" t="s">
        <v>142</v>
      </c>
      <c r="B50" s="162">
        <v>2.0299999999999998</v>
      </c>
      <c r="C50" s="162">
        <v>20.83</v>
      </c>
    </row>
    <row r="51" spans="1:3" ht="78" x14ac:dyDescent="0.35">
      <c r="A51" s="161" t="s">
        <v>514</v>
      </c>
      <c r="B51" s="162">
        <v>21.05</v>
      </c>
      <c r="C51" s="162">
        <v>9.44</v>
      </c>
    </row>
    <row r="52" spans="1:3" ht="65" x14ac:dyDescent="0.35">
      <c r="A52" s="161" t="s">
        <v>31</v>
      </c>
      <c r="B52" s="162">
        <v>8.48</v>
      </c>
      <c r="C52" s="162">
        <v>10.47</v>
      </c>
    </row>
    <row r="53" spans="1:3" ht="52" x14ac:dyDescent="0.35">
      <c r="A53" s="159" t="s">
        <v>29</v>
      </c>
      <c r="B53" s="162">
        <v>51.1</v>
      </c>
      <c r="C53" s="162">
        <v>62.7</v>
      </c>
    </row>
    <row r="54" spans="1:3" ht="104" x14ac:dyDescent="0.35">
      <c r="A54" s="161" t="s">
        <v>464</v>
      </c>
      <c r="B54" s="162">
        <v>51.1</v>
      </c>
      <c r="C54" s="162">
        <v>62.7</v>
      </c>
    </row>
    <row r="55" spans="1:3" ht="338" x14ac:dyDescent="0.35">
      <c r="A55" s="165" t="s">
        <v>545</v>
      </c>
      <c r="B55" s="162">
        <v>50.52</v>
      </c>
      <c r="C55" s="162">
        <v>62.2</v>
      </c>
    </row>
    <row r="56" spans="1:3" ht="104" x14ac:dyDescent="0.35">
      <c r="A56" s="165" t="s">
        <v>491</v>
      </c>
      <c r="B56" s="162">
        <v>0.57999999999999996</v>
      </c>
      <c r="C56" s="162">
        <v>0.51</v>
      </c>
    </row>
    <row r="57" spans="1:3" ht="65" x14ac:dyDescent="0.35">
      <c r="A57" s="161" t="s">
        <v>515</v>
      </c>
      <c r="B57" s="162">
        <v>71.88</v>
      </c>
      <c r="C57" s="162">
        <v>86.47</v>
      </c>
    </row>
    <row r="58" spans="1:3" ht="169" x14ac:dyDescent="0.35">
      <c r="A58" s="165" t="s">
        <v>516</v>
      </c>
      <c r="B58" s="162">
        <v>71.88</v>
      </c>
      <c r="C58" s="162">
        <v>86.47</v>
      </c>
    </row>
    <row r="59" spans="1:3" ht="409.5" x14ac:dyDescent="0.35">
      <c r="A59" s="166" t="s">
        <v>804</v>
      </c>
      <c r="B59" s="162">
        <v>62.89</v>
      </c>
      <c r="C59" s="162">
        <v>77.489999999999995</v>
      </c>
    </row>
    <row r="60" spans="1:3" ht="364" x14ac:dyDescent="0.35">
      <c r="A60" s="166" t="s">
        <v>633</v>
      </c>
      <c r="B60" s="162">
        <v>8.99</v>
      </c>
      <c r="C60" s="162">
        <v>8.99</v>
      </c>
    </row>
    <row r="61" spans="1:3" ht="143" x14ac:dyDescent="0.35">
      <c r="A61" s="161" t="s">
        <v>519</v>
      </c>
      <c r="B61" s="162">
        <v>20.78</v>
      </c>
      <c r="C61" s="162">
        <v>23.77</v>
      </c>
    </row>
    <row r="62" spans="1:3" ht="299" x14ac:dyDescent="0.35">
      <c r="A62" s="165" t="s">
        <v>520</v>
      </c>
      <c r="B62" s="162">
        <v>20.78</v>
      </c>
      <c r="C62" s="162">
        <v>23.77</v>
      </c>
    </row>
    <row r="63" spans="1:3" ht="409.5" x14ac:dyDescent="0.35">
      <c r="A63" s="166" t="s">
        <v>805</v>
      </c>
      <c r="B63" s="162">
        <v>12.37</v>
      </c>
      <c r="C63" s="162">
        <v>15.29</v>
      </c>
    </row>
    <row r="64" spans="1:3" ht="409.5" x14ac:dyDescent="0.35">
      <c r="A64" s="166" t="s">
        <v>635</v>
      </c>
      <c r="B64" s="162">
        <v>8.41</v>
      </c>
      <c r="C64" s="162">
        <v>8.48</v>
      </c>
    </row>
    <row r="65" spans="1:3" ht="39" x14ac:dyDescent="0.35">
      <c r="A65" s="163" t="s">
        <v>33</v>
      </c>
      <c r="B65" s="164">
        <v>1929.32</v>
      </c>
      <c r="C65" s="164">
        <v>1954.98</v>
      </c>
    </row>
    <row r="66" spans="1:3" ht="26" x14ac:dyDescent="0.35">
      <c r="A66" s="157" t="s">
        <v>35</v>
      </c>
      <c r="B66" s="158"/>
      <c r="C66" s="158"/>
    </row>
    <row r="67" spans="1:3" ht="26" x14ac:dyDescent="0.35">
      <c r="A67" s="163" t="s">
        <v>35</v>
      </c>
      <c r="B67" s="164">
        <v>5920.91</v>
      </c>
      <c r="C67" s="164">
        <v>8188.57</v>
      </c>
    </row>
    <row r="68" spans="1:3" ht="26" x14ac:dyDescent="0.35">
      <c r="A68" s="157" t="s">
        <v>143</v>
      </c>
      <c r="B68" s="158"/>
      <c r="C68" s="158"/>
    </row>
    <row r="69" spans="1:3" ht="78" x14ac:dyDescent="0.35">
      <c r="A69" s="159" t="s">
        <v>144</v>
      </c>
      <c r="B69" s="160">
        <v>1186.75</v>
      </c>
      <c r="C69" s="160">
        <v>1554.59</v>
      </c>
    </row>
    <row r="70" spans="1:3" ht="117" x14ac:dyDescent="0.35">
      <c r="A70" s="161" t="s">
        <v>37</v>
      </c>
      <c r="B70" s="160">
        <v>405</v>
      </c>
      <c r="C70" s="160">
        <v>479.04</v>
      </c>
    </row>
    <row r="71" spans="1:3" ht="78" x14ac:dyDescent="0.35">
      <c r="A71" s="161" t="s">
        <v>145</v>
      </c>
      <c r="B71" s="160">
        <v>781.76</v>
      </c>
      <c r="C71" s="160">
        <v>1075.56</v>
      </c>
    </row>
    <row r="72" spans="1:3" ht="104" x14ac:dyDescent="0.35">
      <c r="A72" s="159" t="s">
        <v>39</v>
      </c>
      <c r="B72" s="160">
        <v>851.53</v>
      </c>
      <c r="C72" s="160">
        <v>114.01</v>
      </c>
    </row>
    <row r="73" spans="1:3" ht="143" x14ac:dyDescent="0.35">
      <c r="A73" s="161" t="s">
        <v>146</v>
      </c>
      <c r="B73" s="160">
        <v>851.53</v>
      </c>
      <c r="C73" s="160">
        <v>114.01</v>
      </c>
    </row>
    <row r="74" spans="1:3" ht="234" x14ac:dyDescent="0.35">
      <c r="A74" s="165" t="s">
        <v>147</v>
      </c>
      <c r="B74" s="160">
        <v>851.53</v>
      </c>
      <c r="C74" s="160">
        <v>114.01</v>
      </c>
    </row>
    <row r="75" spans="1:3" ht="65" x14ac:dyDescent="0.35">
      <c r="A75" s="159" t="s">
        <v>149</v>
      </c>
      <c r="B75" s="162">
        <v>25.93</v>
      </c>
      <c r="C75" s="162">
        <v>41.63</v>
      </c>
    </row>
    <row r="76" spans="1:3" ht="78" x14ac:dyDescent="0.35">
      <c r="A76" s="159" t="s">
        <v>150</v>
      </c>
      <c r="B76" s="162">
        <v>17.579999999999998</v>
      </c>
      <c r="C76" s="162">
        <v>20.7</v>
      </c>
    </row>
    <row r="77" spans="1:3" ht="52" x14ac:dyDescent="0.35">
      <c r="A77" s="159" t="s">
        <v>423</v>
      </c>
      <c r="B77" s="160">
        <v>133.11000000000001</v>
      </c>
      <c r="C77" s="162">
        <v>97.91</v>
      </c>
    </row>
    <row r="78" spans="1:3" ht="65" x14ac:dyDescent="0.35">
      <c r="A78" s="161" t="s">
        <v>41</v>
      </c>
      <c r="B78" s="160">
        <v>133.11000000000001</v>
      </c>
      <c r="C78" s="162">
        <v>97.91</v>
      </c>
    </row>
    <row r="79" spans="1:3" ht="39" x14ac:dyDescent="0.35">
      <c r="A79" s="163" t="s">
        <v>43</v>
      </c>
      <c r="B79" s="164">
        <v>2214.9</v>
      </c>
      <c r="C79" s="164">
        <v>1828.83</v>
      </c>
    </row>
    <row r="80" spans="1:3" ht="39" x14ac:dyDescent="0.35">
      <c r="A80" s="157" t="s">
        <v>151</v>
      </c>
      <c r="B80" s="158"/>
      <c r="C80" s="158"/>
    </row>
    <row r="81" spans="1:3" ht="52" x14ac:dyDescent="0.35">
      <c r="A81" s="159" t="s">
        <v>45</v>
      </c>
      <c r="B81" s="160">
        <v>166.48</v>
      </c>
      <c r="C81" s="160">
        <v>1812.16</v>
      </c>
    </row>
    <row r="82" spans="1:3" ht="104" x14ac:dyDescent="0.35">
      <c r="A82" s="161" t="s">
        <v>152</v>
      </c>
      <c r="B82" s="160">
        <v>166.48</v>
      </c>
      <c r="C82" s="160">
        <v>1812.16</v>
      </c>
    </row>
    <row r="83" spans="1:3" ht="117" x14ac:dyDescent="0.35">
      <c r="A83" s="165" t="s">
        <v>153</v>
      </c>
      <c r="B83" s="160">
        <v>166.48</v>
      </c>
      <c r="C83" s="160">
        <v>1812.16</v>
      </c>
    </row>
    <row r="84" spans="1:3" ht="91" x14ac:dyDescent="0.35">
      <c r="A84" s="159" t="s">
        <v>155</v>
      </c>
      <c r="B84" s="162">
        <v>42.01</v>
      </c>
      <c r="C84" s="162">
        <v>53.21</v>
      </c>
    </row>
    <row r="85" spans="1:3" ht="78" x14ac:dyDescent="0.35">
      <c r="A85" s="161" t="s">
        <v>156</v>
      </c>
      <c r="B85" s="162">
        <v>42.01</v>
      </c>
      <c r="C85" s="162">
        <v>53.21</v>
      </c>
    </row>
    <row r="86" spans="1:3" ht="65" x14ac:dyDescent="0.35">
      <c r="A86" s="159" t="s">
        <v>157</v>
      </c>
      <c r="B86" s="162">
        <v>44.28</v>
      </c>
      <c r="C86" s="162">
        <v>52.94</v>
      </c>
    </row>
    <row r="87" spans="1:3" ht="65" x14ac:dyDescent="0.35">
      <c r="A87" s="159" t="s">
        <v>158</v>
      </c>
      <c r="B87" s="162">
        <v>90.7</v>
      </c>
      <c r="C87" s="162">
        <v>51.27</v>
      </c>
    </row>
    <row r="88" spans="1:3" ht="52" x14ac:dyDescent="0.35">
      <c r="A88" s="161" t="s">
        <v>159</v>
      </c>
      <c r="B88" s="162">
        <v>20.2</v>
      </c>
      <c r="C88" s="162">
        <v>21.74</v>
      </c>
    </row>
    <row r="89" spans="1:3" ht="208" x14ac:dyDescent="0.35">
      <c r="A89" s="165" t="s">
        <v>160</v>
      </c>
      <c r="B89" s="162">
        <v>16.41</v>
      </c>
      <c r="C89" s="162">
        <v>18.170000000000002</v>
      </c>
    </row>
    <row r="90" spans="1:3" ht="143" x14ac:dyDescent="0.35">
      <c r="A90" s="165" t="s">
        <v>161</v>
      </c>
      <c r="B90" s="162">
        <v>3.79</v>
      </c>
      <c r="C90" s="162">
        <v>3.57</v>
      </c>
    </row>
    <row r="91" spans="1:3" ht="78" x14ac:dyDescent="0.35">
      <c r="A91" s="161" t="s">
        <v>47</v>
      </c>
      <c r="B91" s="162">
        <v>70.5</v>
      </c>
      <c r="C91" s="162">
        <v>29.53</v>
      </c>
    </row>
    <row r="92" spans="1:3" ht="39" x14ac:dyDescent="0.35">
      <c r="A92" s="159" t="s">
        <v>49</v>
      </c>
      <c r="B92" s="160">
        <v>343.47</v>
      </c>
      <c r="C92" s="160">
        <v>1969.57</v>
      </c>
    </row>
    <row r="93" spans="1:3" ht="26" x14ac:dyDescent="0.35">
      <c r="A93" s="157" t="s">
        <v>51</v>
      </c>
      <c r="B93" s="158"/>
      <c r="C93" s="158"/>
    </row>
    <row r="94" spans="1:3" ht="26" x14ac:dyDescent="0.35">
      <c r="A94" s="163" t="s">
        <v>51</v>
      </c>
      <c r="B94" s="164">
        <v>2558.36</v>
      </c>
      <c r="C94" s="164">
        <v>3798.4</v>
      </c>
    </row>
    <row r="95" spans="1:3" ht="39" x14ac:dyDescent="0.35">
      <c r="A95" s="157" t="s">
        <v>162</v>
      </c>
      <c r="B95" s="158"/>
      <c r="C95" s="158"/>
    </row>
    <row r="96" spans="1:3" ht="104" x14ac:dyDescent="0.35">
      <c r="A96" s="159" t="s">
        <v>163</v>
      </c>
      <c r="B96" s="160">
        <v>3362.55</v>
      </c>
      <c r="C96" s="160">
        <v>4390.17</v>
      </c>
    </row>
    <row r="97" spans="1:3" ht="117" x14ac:dyDescent="0.35">
      <c r="A97" s="161" t="s">
        <v>164</v>
      </c>
      <c r="B97" s="160">
        <v>3362.55</v>
      </c>
      <c r="C97" s="160">
        <v>4390.17</v>
      </c>
    </row>
    <row r="98" spans="1:3" ht="91" x14ac:dyDescent="0.35">
      <c r="A98" s="165" t="s">
        <v>166</v>
      </c>
      <c r="B98" s="168">
        <v>12088.05</v>
      </c>
      <c r="C98" s="168">
        <v>12759.28</v>
      </c>
    </row>
    <row r="99" spans="1:3" ht="260" x14ac:dyDescent="0.35">
      <c r="A99" s="166" t="s">
        <v>167</v>
      </c>
      <c r="B99" s="162">
        <v>0.14000000000000001</v>
      </c>
      <c r="C99" s="162">
        <v>0.14000000000000001</v>
      </c>
    </row>
    <row r="100" spans="1:3" ht="409.5" x14ac:dyDescent="0.35">
      <c r="A100" s="166" t="s">
        <v>168</v>
      </c>
      <c r="B100" s="168">
        <v>12087.91</v>
      </c>
      <c r="C100" s="168">
        <v>12759.14</v>
      </c>
    </row>
    <row r="101" spans="1:3" ht="182" x14ac:dyDescent="0.35">
      <c r="A101" s="165" t="s">
        <v>169</v>
      </c>
      <c r="B101" s="169">
        <v>-8725.5</v>
      </c>
      <c r="C101" s="169">
        <v>-8369.11</v>
      </c>
    </row>
    <row r="102" spans="1:3" ht="247" x14ac:dyDescent="0.35">
      <c r="A102" s="166" t="s">
        <v>170</v>
      </c>
      <c r="B102" s="169">
        <v>-8606.84</v>
      </c>
      <c r="C102" s="169">
        <v>-8319.9</v>
      </c>
    </row>
    <row r="103" spans="1:3" ht="409.5" x14ac:dyDescent="0.35">
      <c r="A103" s="166" t="s">
        <v>171</v>
      </c>
      <c r="B103" s="169">
        <v>-148.99</v>
      </c>
      <c r="C103" s="170">
        <v>-78.180000000000007</v>
      </c>
    </row>
    <row r="104" spans="1:3" ht="403" x14ac:dyDescent="0.35">
      <c r="A104" s="167" t="s">
        <v>172</v>
      </c>
      <c r="B104" s="168">
        <v>0</v>
      </c>
      <c r="C104" s="168"/>
    </row>
    <row r="105" spans="1:3" ht="409.5" x14ac:dyDescent="0.35">
      <c r="A105" s="167" t="s">
        <v>174</v>
      </c>
      <c r="B105" s="169">
        <v>-135.55000000000001</v>
      </c>
      <c r="C105" s="168"/>
    </row>
    <row r="106" spans="1:3" ht="409.5" x14ac:dyDescent="0.35">
      <c r="A106" s="167" t="s">
        <v>175</v>
      </c>
      <c r="B106" s="170">
        <v>-13.44</v>
      </c>
      <c r="C106" s="168"/>
    </row>
    <row r="107" spans="1:3" ht="299" x14ac:dyDescent="0.35">
      <c r="A107" s="166" t="s">
        <v>427</v>
      </c>
      <c r="B107" s="162">
        <v>30.32</v>
      </c>
      <c r="C107" s="162">
        <v>28.98</v>
      </c>
    </row>
    <row r="108" spans="1:3" ht="52" x14ac:dyDescent="0.35">
      <c r="A108" s="161" t="s">
        <v>53</v>
      </c>
      <c r="B108" s="160">
        <v>3362.55</v>
      </c>
      <c r="C108" s="160">
        <v>4390.17</v>
      </c>
    </row>
    <row r="109" spans="1:3" ht="52" x14ac:dyDescent="0.35">
      <c r="A109" s="157" t="s">
        <v>176</v>
      </c>
      <c r="B109" s="158"/>
      <c r="C109" s="158"/>
    </row>
    <row r="110" spans="1:3" ht="117" x14ac:dyDescent="0.35">
      <c r="A110" s="163" t="s">
        <v>57</v>
      </c>
      <c r="B110" s="164">
        <v>3362.55</v>
      </c>
      <c r="C110" s="164">
        <v>4390.17</v>
      </c>
    </row>
    <row r="111" spans="1:3" ht="78" x14ac:dyDescent="0.35">
      <c r="A111" s="157" t="s">
        <v>177</v>
      </c>
      <c r="B111" s="158"/>
      <c r="C111" s="158"/>
    </row>
    <row r="112" spans="1:3" ht="39" x14ac:dyDescent="0.35">
      <c r="A112" s="163" t="s">
        <v>60</v>
      </c>
      <c r="B112" s="164">
        <v>5920.91</v>
      </c>
      <c r="C112" s="164">
        <v>8188.57</v>
      </c>
    </row>
    <row r="113" spans="1:3" ht="39" x14ac:dyDescent="0.35">
      <c r="A113" s="157" t="s">
        <v>178</v>
      </c>
      <c r="B113" s="158"/>
      <c r="C113" s="158"/>
    </row>
    <row r="114" spans="1:3" ht="52" x14ac:dyDescent="0.35">
      <c r="A114" s="159" t="s">
        <v>179</v>
      </c>
      <c r="B114" s="160">
        <v>1387.37</v>
      </c>
      <c r="C114" s="160">
        <v>1540.98</v>
      </c>
    </row>
    <row r="115" spans="1:3" ht="78" x14ac:dyDescent="0.35">
      <c r="A115" s="161" t="s">
        <v>180</v>
      </c>
      <c r="B115" s="160">
        <v>1387.37</v>
      </c>
      <c r="C115" s="160">
        <v>1441.08</v>
      </c>
    </row>
    <row r="116" spans="1:3" ht="78" x14ac:dyDescent="0.35">
      <c r="A116" s="161" t="s">
        <v>181</v>
      </c>
      <c r="B116" s="168">
        <v>0</v>
      </c>
      <c r="C116" s="162">
        <v>99.9</v>
      </c>
    </row>
    <row r="117" spans="1:3" ht="65" x14ac:dyDescent="0.35">
      <c r="A117" s="159" t="s">
        <v>182</v>
      </c>
      <c r="B117" s="160">
        <v>9500</v>
      </c>
      <c r="C117" s="160">
        <v>9500</v>
      </c>
    </row>
    <row r="118" spans="1:3" ht="65" x14ac:dyDescent="0.35">
      <c r="A118" s="159" t="s">
        <v>183</v>
      </c>
      <c r="B118" s="160">
        <v>1272.31</v>
      </c>
      <c r="C118" s="160">
        <v>1425.92</v>
      </c>
    </row>
    <row r="119" spans="1:3" ht="91" x14ac:dyDescent="0.35">
      <c r="A119" s="161" t="s">
        <v>184</v>
      </c>
      <c r="B119" s="160">
        <v>1272.31</v>
      </c>
      <c r="C119" s="160">
        <v>1326.02</v>
      </c>
    </row>
    <row r="120" spans="1:3" ht="91" x14ac:dyDescent="0.35">
      <c r="A120" s="161" t="s">
        <v>185</v>
      </c>
      <c r="B120" s="168">
        <v>0</v>
      </c>
      <c r="C120" s="162">
        <v>99.9</v>
      </c>
    </row>
    <row r="121" spans="1:3" ht="65" x14ac:dyDescent="0.35">
      <c r="A121" s="159" t="s">
        <v>183</v>
      </c>
      <c r="B121" s="160">
        <v>115.06</v>
      </c>
      <c r="C121" s="160">
        <v>115.06</v>
      </c>
    </row>
    <row r="122" spans="1:3" ht="91" x14ac:dyDescent="0.35">
      <c r="A122" s="161" t="s">
        <v>184</v>
      </c>
      <c r="B122" s="160">
        <v>115.06</v>
      </c>
      <c r="C122" s="160">
        <v>115.06</v>
      </c>
    </row>
    <row r="123" spans="1:3" ht="91" x14ac:dyDescent="0.35">
      <c r="A123" s="161" t="s">
        <v>185</v>
      </c>
      <c r="B123" s="168">
        <v>0</v>
      </c>
      <c r="C123" s="168"/>
    </row>
    <row r="124" spans="1:3" ht="78" x14ac:dyDescent="0.35">
      <c r="A124" s="159" t="s">
        <v>524</v>
      </c>
      <c r="B124" s="162">
        <v>97.87</v>
      </c>
      <c r="C124" s="160">
        <v>109.69</v>
      </c>
    </row>
    <row r="125" spans="1:3" ht="104" x14ac:dyDescent="0.35">
      <c r="A125" s="161" t="s">
        <v>525</v>
      </c>
      <c r="B125" s="162">
        <v>97.87</v>
      </c>
      <c r="C125" s="160">
        <v>102</v>
      </c>
    </row>
    <row r="126" spans="1:3" ht="104" x14ac:dyDescent="0.35">
      <c r="A126" s="161" t="s">
        <v>526</v>
      </c>
      <c r="B126" s="168">
        <v>0</v>
      </c>
      <c r="C126" s="162">
        <v>7.68</v>
      </c>
    </row>
    <row r="127" spans="1:3" ht="39" x14ac:dyDescent="0.35">
      <c r="A127" s="157" t="s">
        <v>186</v>
      </c>
      <c r="B127" s="158"/>
      <c r="C127" s="158"/>
    </row>
    <row r="128" spans="1:3" ht="65" x14ac:dyDescent="0.35">
      <c r="A128" s="159" t="s">
        <v>187</v>
      </c>
      <c r="B128" s="162">
        <v>0.92</v>
      </c>
      <c r="C128" s="162">
        <v>0.92</v>
      </c>
    </row>
    <row r="129" spans="1:3" ht="65" x14ac:dyDescent="0.35">
      <c r="A129" s="159" t="s">
        <v>187</v>
      </c>
      <c r="B129" s="162">
        <v>0.08</v>
      </c>
      <c r="C129" s="162">
        <v>0.08</v>
      </c>
    </row>
    <row r="130" spans="1:3" ht="65" x14ac:dyDescent="0.35">
      <c r="A130" s="159" t="s">
        <v>187</v>
      </c>
      <c r="B130" s="162">
        <v>0.92</v>
      </c>
      <c r="C130" s="162">
        <v>0.92</v>
      </c>
    </row>
    <row r="131" spans="1:3" ht="52" x14ac:dyDescent="0.35">
      <c r="A131" s="157" t="s">
        <v>188</v>
      </c>
      <c r="B131" s="158"/>
      <c r="C131" s="158"/>
    </row>
    <row r="132" spans="1:3" ht="104" x14ac:dyDescent="0.35">
      <c r="A132" s="159" t="s">
        <v>189</v>
      </c>
      <c r="B132" s="160">
        <v>139.31</v>
      </c>
      <c r="C132" s="160">
        <v>148.18</v>
      </c>
    </row>
    <row r="133" spans="1:3" ht="143" x14ac:dyDescent="0.35">
      <c r="A133" s="161" t="s">
        <v>190</v>
      </c>
      <c r="B133" s="160">
        <v>139.31</v>
      </c>
      <c r="C133" s="160">
        <v>148.18</v>
      </c>
    </row>
    <row r="134" spans="1:3" ht="156" x14ac:dyDescent="0.35">
      <c r="A134" s="159" t="s">
        <v>192</v>
      </c>
      <c r="B134" s="160">
        <v>1578.42</v>
      </c>
      <c r="C134" s="160">
        <v>1641.68</v>
      </c>
    </row>
    <row r="135" spans="1:3" ht="39" x14ac:dyDescent="0.35">
      <c r="A135" s="157" t="s">
        <v>193</v>
      </c>
      <c r="B135" s="158"/>
      <c r="C135" s="158"/>
    </row>
    <row r="136" spans="1:3" ht="52" x14ac:dyDescent="0.35">
      <c r="A136" s="159" t="s">
        <v>194</v>
      </c>
      <c r="B136" s="162">
        <v>61.85</v>
      </c>
      <c r="C136" s="162">
        <v>73.64</v>
      </c>
    </row>
    <row r="137" spans="1:3" ht="156" x14ac:dyDescent="0.35">
      <c r="A137" s="161" t="s">
        <v>195</v>
      </c>
      <c r="B137" s="162">
        <v>17.579999999999998</v>
      </c>
      <c r="C137" s="162">
        <v>20.7</v>
      </c>
    </row>
    <row r="138" spans="1:3" ht="117" x14ac:dyDescent="0.35">
      <c r="A138" s="161" t="s">
        <v>196</v>
      </c>
      <c r="B138" s="162">
        <v>44.28</v>
      </c>
      <c r="C138" s="162">
        <v>52.94</v>
      </c>
    </row>
    <row r="139" spans="1:3" ht="78" x14ac:dyDescent="0.35">
      <c r="A139" s="159" t="s">
        <v>197</v>
      </c>
      <c r="B139" s="162">
        <v>61.85</v>
      </c>
      <c r="C139" s="162">
        <v>73.64</v>
      </c>
    </row>
    <row r="140" spans="1:3" ht="91" x14ac:dyDescent="0.35">
      <c r="A140" s="159" t="s">
        <v>198</v>
      </c>
      <c r="B140" s="160">
        <v>1079.8699999999999</v>
      </c>
      <c r="C140" s="160">
        <v>1999.8</v>
      </c>
    </row>
    <row r="141" spans="1:3" ht="52" x14ac:dyDescent="0.35">
      <c r="A141" s="157" t="s">
        <v>199</v>
      </c>
      <c r="B141" s="158"/>
      <c r="C141" s="158"/>
    </row>
    <row r="142" spans="1:3" ht="26" x14ac:dyDescent="0.35">
      <c r="A142" s="159" t="s">
        <v>200</v>
      </c>
      <c r="B142" s="160">
        <v>128.93</v>
      </c>
      <c r="C142" s="162">
        <v>61.68</v>
      </c>
    </row>
    <row r="143" spans="1:3" ht="39" x14ac:dyDescent="0.35">
      <c r="A143" s="159" t="s">
        <v>201</v>
      </c>
      <c r="B143" s="160">
        <v>709.11</v>
      </c>
      <c r="C143" s="160">
        <v>886.86</v>
      </c>
    </row>
    <row r="144" spans="1:3" ht="39" x14ac:dyDescent="0.35">
      <c r="A144" s="159" t="s">
        <v>203</v>
      </c>
      <c r="B144" s="162">
        <v>56.75</v>
      </c>
      <c r="C144" s="160">
        <v>100.98</v>
      </c>
    </row>
    <row r="145" spans="1:3" ht="91" x14ac:dyDescent="0.35">
      <c r="A145" s="159" t="s">
        <v>204</v>
      </c>
      <c r="B145" s="162">
        <v>25.93</v>
      </c>
      <c r="C145" s="162">
        <v>41.63</v>
      </c>
    </row>
    <row r="146" spans="1:3" ht="39" x14ac:dyDescent="0.35">
      <c r="A146" s="159" t="s">
        <v>205</v>
      </c>
      <c r="B146" s="160">
        <v>1186.75</v>
      </c>
      <c r="C146" s="160">
        <v>1554.59</v>
      </c>
    </row>
    <row r="147" spans="1:3" ht="78" x14ac:dyDescent="0.35">
      <c r="A147" s="161" t="s">
        <v>206</v>
      </c>
      <c r="B147" s="160">
        <v>405</v>
      </c>
      <c r="C147" s="160">
        <v>479.04</v>
      </c>
    </row>
    <row r="148" spans="1:3" ht="52" x14ac:dyDescent="0.35">
      <c r="A148" s="161" t="s">
        <v>207</v>
      </c>
      <c r="B148" s="160">
        <v>781.76</v>
      </c>
      <c r="C148" s="160">
        <v>1075.56</v>
      </c>
    </row>
    <row r="149" spans="1:3" ht="26" x14ac:dyDescent="0.35">
      <c r="A149" s="157" t="s">
        <v>208</v>
      </c>
      <c r="B149" s="158"/>
      <c r="C149" s="158"/>
    </row>
    <row r="150" spans="1:3" x14ac:dyDescent="0.35">
      <c r="A150" s="159" t="s">
        <v>209</v>
      </c>
      <c r="B150" s="169">
        <v>-1609.4</v>
      </c>
      <c r="C150" s="169">
        <v>-2621.37</v>
      </c>
    </row>
    <row r="151" spans="1:3" ht="26" x14ac:dyDescent="0.35">
      <c r="A151" s="159" t="s">
        <v>210</v>
      </c>
      <c r="B151" s="160">
        <v>1018.01</v>
      </c>
      <c r="C151" s="160">
        <v>1926.16</v>
      </c>
    </row>
    <row r="152" spans="1:3" ht="26" x14ac:dyDescent="0.35">
      <c r="A152" s="157" t="s">
        <v>214</v>
      </c>
      <c r="B152" s="158"/>
      <c r="C152" s="158"/>
    </row>
    <row r="153" spans="1:3" ht="65" x14ac:dyDescent="0.35">
      <c r="A153" s="159" t="s">
        <v>215</v>
      </c>
      <c r="B153" s="160">
        <v>1018.01</v>
      </c>
      <c r="C153" s="160">
        <v>1041.22</v>
      </c>
    </row>
    <row r="154" spans="1:3" ht="91" x14ac:dyDescent="0.35">
      <c r="A154" s="161" t="s">
        <v>216</v>
      </c>
      <c r="B154" s="160">
        <v>851.53</v>
      </c>
      <c r="C154" s="162">
        <v>60.53</v>
      </c>
    </row>
    <row r="155" spans="1:3" ht="78" x14ac:dyDescent="0.35">
      <c r="A155" s="161" t="s">
        <v>217</v>
      </c>
      <c r="B155" s="162">
        <v>46.21</v>
      </c>
      <c r="C155" s="160">
        <v>632.83000000000004</v>
      </c>
    </row>
    <row r="156" spans="1:3" ht="78" x14ac:dyDescent="0.35">
      <c r="A156" s="161" t="s">
        <v>218</v>
      </c>
      <c r="B156" s="162">
        <v>46.21</v>
      </c>
      <c r="C156" s="160">
        <v>297.33999999999997</v>
      </c>
    </row>
    <row r="157" spans="1:3" ht="78" x14ac:dyDescent="0.35">
      <c r="A157" s="161" t="s">
        <v>219</v>
      </c>
      <c r="B157" s="162">
        <v>25.66</v>
      </c>
      <c r="C157" s="162">
        <v>20.52</v>
      </c>
    </row>
    <row r="158" spans="1:3" ht="78" x14ac:dyDescent="0.35">
      <c r="A158" s="161" t="s">
        <v>220</v>
      </c>
      <c r="B158" s="162">
        <v>19.66</v>
      </c>
      <c r="C158" s="162">
        <v>9.3000000000000007</v>
      </c>
    </row>
    <row r="159" spans="1:3" ht="91" x14ac:dyDescent="0.35">
      <c r="A159" s="161" t="s">
        <v>431</v>
      </c>
      <c r="B159" s="162">
        <v>28.76</v>
      </c>
      <c r="C159" s="162">
        <v>20.72</v>
      </c>
    </row>
    <row r="160" spans="1:3" ht="65" x14ac:dyDescent="0.35">
      <c r="A160" s="159" t="s">
        <v>221</v>
      </c>
      <c r="B160" s="162">
        <v>92.41</v>
      </c>
      <c r="C160" s="160">
        <v>930.16</v>
      </c>
    </row>
    <row r="161" spans="1:3" ht="65" x14ac:dyDescent="0.35">
      <c r="A161" s="159" t="s">
        <v>222</v>
      </c>
      <c r="B161" s="162">
        <v>45.31</v>
      </c>
      <c r="C161" s="162">
        <v>29.81</v>
      </c>
    </row>
    <row r="162" spans="1:3" ht="78" x14ac:dyDescent="0.35">
      <c r="A162" s="159" t="s">
        <v>432</v>
      </c>
      <c r="B162" s="162">
        <v>28.76</v>
      </c>
      <c r="C162" s="162">
        <v>20.72</v>
      </c>
    </row>
    <row r="163" spans="1:3" ht="39" x14ac:dyDescent="0.35">
      <c r="A163" s="157" t="s">
        <v>235</v>
      </c>
      <c r="B163" s="158"/>
      <c r="C163" s="158"/>
    </row>
    <row r="164" spans="1:3" ht="104" x14ac:dyDescent="0.35">
      <c r="A164" s="159" t="s">
        <v>236</v>
      </c>
      <c r="B164" s="162">
        <v>4</v>
      </c>
      <c r="C164" s="168"/>
    </row>
    <row r="165" spans="1:3" ht="91" x14ac:dyDescent="0.35">
      <c r="A165" s="159" t="s">
        <v>238</v>
      </c>
      <c r="B165" s="173">
        <v>0</v>
      </c>
      <c r="C165" s="173">
        <v>0</v>
      </c>
    </row>
    <row r="166" spans="1:3" x14ac:dyDescent="0.35">
      <c r="A166" s="157" t="s">
        <v>82</v>
      </c>
      <c r="B166" s="158"/>
      <c r="C166" s="158"/>
    </row>
    <row r="167" spans="1:3" ht="39" x14ac:dyDescent="0.35">
      <c r="A167" s="159" t="s">
        <v>240</v>
      </c>
      <c r="B167" s="169">
        <v>-850.72</v>
      </c>
      <c r="C167" s="169">
        <v>-142.77000000000001</v>
      </c>
    </row>
    <row r="168" spans="1:3" ht="26" x14ac:dyDescent="0.35">
      <c r="A168" s="159" t="s">
        <v>241</v>
      </c>
      <c r="B168" s="160">
        <v>3293.5</v>
      </c>
      <c r="C168" s="160">
        <v>3641.04</v>
      </c>
    </row>
    <row r="169" spans="1:3" ht="52" x14ac:dyDescent="0.35">
      <c r="A169" s="159" t="s">
        <v>242</v>
      </c>
      <c r="B169" s="160">
        <v>2627.41</v>
      </c>
      <c r="C169" s="160">
        <v>4547.53</v>
      </c>
    </row>
    <row r="170" spans="1:3" ht="65" x14ac:dyDescent="0.35">
      <c r="A170" s="159" t="s">
        <v>243</v>
      </c>
      <c r="B170" s="160">
        <v>2627.41</v>
      </c>
      <c r="C170" s="160">
        <v>4547.53</v>
      </c>
    </row>
    <row r="171" spans="1:3" ht="91" x14ac:dyDescent="0.35">
      <c r="A171" s="159" t="s">
        <v>244</v>
      </c>
      <c r="B171" s="160">
        <v>1018.01</v>
      </c>
      <c r="C171" s="160">
        <v>1926.16</v>
      </c>
    </row>
    <row r="172" spans="1:3" ht="52" x14ac:dyDescent="0.35">
      <c r="A172" s="159" t="s">
        <v>245</v>
      </c>
      <c r="B172" s="160">
        <v>128.93</v>
      </c>
      <c r="C172" s="162">
        <v>61.68</v>
      </c>
    </row>
    <row r="173" spans="1:3" ht="26" x14ac:dyDescent="0.35">
      <c r="A173" s="159" t="s">
        <v>246</v>
      </c>
      <c r="B173" s="160">
        <v>1753.15</v>
      </c>
      <c r="C173" s="160">
        <v>1768.81</v>
      </c>
    </row>
    <row r="174" spans="1:3" ht="39" x14ac:dyDescent="0.35">
      <c r="A174" s="159" t="s">
        <v>247</v>
      </c>
      <c r="B174" s="160">
        <v>1753.15</v>
      </c>
      <c r="C174" s="160">
        <v>1768.81</v>
      </c>
    </row>
    <row r="175" spans="1:3" ht="26" x14ac:dyDescent="0.35">
      <c r="A175" s="159" t="s">
        <v>248</v>
      </c>
      <c r="B175" s="162">
        <v>62.21</v>
      </c>
      <c r="C175" s="162">
        <v>74.94</v>
      </c>
    </row>
    <row r="176" spans="1:3" ht="39" x14ac:dyDescent="0.35">
      <c r="A176" s="159" t="s">
        <v>249</v>
      </c>
      <c r="B176" s="160">
        <v>3362.55</v>
      </c>
      <c r="C176" s="160">
        <v>4390.17</v>
      </c>
    </row>
    <row r="177" spans="1:3" ht="39" x14ac:dyDescent="0.35">
      <c r="A177" s="159" t="s">
        <v>250</v>
      </c>
      <c r="B177" s="160">
        <v>3311.45</v>
      </c>
      <c r="C177" s="160">
        <v>4327.47</v>
      </c>
    </row>
    <row r="178" spans="1:3" ht="39" x14ac:dyDescent="0.35">
      <c r="A178" s="159" t="s">
        <v>251</v>
      </c>
      <c r="B178" s="160">
        <v>3311.45</v>
      </c>
      <c r="C178" s="160">
        <v>4327.47</v>
      </c>
    </row>
    <row r="179" spans="1:3" ht="39" x14ac:dyDescent="0.35">
      <c r="A179" s="159" t="s">
        <v>252</v>
      </c>
      <c r="B179" s="160">
        <v>4380.5600000000004</v>
      </c>
      <c r="C179" s="160">
        <v>6316.34</v>
      </c>
    </row>
    <row r="180" spans="1:3" ht="26" x14ac:dyDescent="0.35">
      <c r="A180" s="159" t="s">
        <v>253</v>
      </c>
      <c r="B180" s="160">
        <v>4380.5600000000004</v>
      </c>
      <c r="C180" s="160">
        <v>6316.34</v>
      </c>
    </row>
    <row r="181" spans="1:3" ht="39" x14ac:dyDescent="0.35">
      <c r="A181" s="159" t="s">
        <v>254</v>
      </c>
      <c r="B181" s="160">
        <v>3706.01</v>
      </c>
      <c r="C181" s="160">
        <v>6359.74</v>
      </c>
    </row>
    <row r="182" spans="1:3" ht="52" x14ac:dyDescent="0.35">
      <c r="A182" s="159" t="s">
        <v>255</v>
      </c>
      <c r="B182" s="160">
        <v>1929.32</v>
      </c>
      <c r="C182" s="160">
        <v>1954.98</v>
      </c>
    </row>
    <row r="183" spans="1:3" ht="26" x14ac:dyDescent="0.35">
      <c r="A183" s="159" t="s">
        <v>256</v>
      </c>
      <c r="B183" s="160">
        <v>1776.69</v>
      </c>
      <c r="C183" s="160">
        <v>4404.76</v>
      </c>
    </row>
    <row r="184" spans="1:3" ht="39" x14ac:dyDescent="0.35">
      <c r="A184" s="159" t="s">
        <v>257</v>
      </c>
      <c r="B184" s="169">
        <v>-850.72</v>
      </c>
      <c r="C184" s="169">
        <v>-142.77000000000001</v>
      </c>
    </row>
    <row r="185" spans="1:3" ht="91" x14ac:dyDescent="0.35">
      <c r="A185" s="159" t="s">
        <v>434</v>
      </c>
      <c r="B185" s="160">
        <v>1884.61</v>
      </c>
      <c r="C185" s="160">
        <v>4442.43</v>
      </c>
    </row>
    <row r="186" spans="1:3" ht="65" x14ac:dyDescent="0.35">
      <c r="A186" s="159" t="s">
        <v>258</v>
      </c>
      <c r="B186" s="160">
        <v>3332.22</v>
      </c>
      <c r="C186" s="160">
        <v>4361.1899999999996</v>
      </c>
    </row>
    <row r="187" spans="1:3" ht="26" x14ac:dyDescent="0.35">
      <c r="A187" s="157" t="s">
        <v>259</v>
      </c>
      <c r="B187" s="158"/>
      <c r="C187" s="158"/>
    </row>
    <row r="188" spans="1:3" ht="52" x14ac:dyDescent="0.35">
      <c r="A188" s="159" t="s">
        <v>260</v>
      </c>
      <c r="B188" s="168">
        <v>29773</v>
      </c>
      <c r="C188" s="168"/>
    </row>
    <row r="189" spans="1:3" ht="39" x14ac:dyDescent="0.35">
      <c r="A189" s="157" t="s">
        <v>261</v>
      </c>
      <c r="B189" s="158"/>
      <c r="C189" s="158"/>
    </row>
    <row r="190" spans="1:3" ht="52" x14ac:dyDescent="0.35">
      <c r="A190" s="159" t="s">
        <v>262</v>
      </c>
      <c r="B190" s="162">
        <v>61.85</v>
      </c>
      <c r="C190" s="162">
        <v>73.64</v>
      </c>
    </row>
    <row r="191" spans="1:3" ht="91" x14ac:dyDescent="0.35">
      <c r="A191" s="161" t="s">
        <v>263</v>
      </c>
      <c r="B191" s="162">
        <v>19.82</v>
      </c>
      <c r="C191" s="162">
        <v>23.65</v>
      </c>
    </row>
    <row r="192" spans="1:3" ht="91" x14ac:dyDescent="0.35">
      <c r="A192" s="161" t="s">
        <v>264</v>
      </c>
      <c r="B192" s="162">
        <v>13.28</v>
      </c>
      <c r="C192" s="162">
        <v>21.76</v>
      </c>
    </row>
    <row r="193" spans="1:3" ht="91" x14ac:dyDescent="0.35">
      <c r="A193" s="161" t="s">
        <v>265</v>
      </c>
      <c r="B193" s="162">
        <v>12.58</v>
      </c>
      <c r="C193" s="162">
        <v>16.45</v>
      </c>
    </row>
    <row r="194" spans="1:3" ht="91" x14ac:dyDescent="0.35">
      <c r="A194" s="161" t="s">
        <v>266</v>
      </c>
      <c r="B194" s="162">
        <v>11.74</v>
      </c>
      <c r="C194" s="162">
        <v>11.17</v>
      </c>
    </row>
    <row r="195" spans="1:3" ht="91" x14ac:dyDescent="0.35">
      <c r="A195" s="161" t="s">
        <v>267</v>
      </c>
      <c r="B195" s="162">
        <v>7.19</v>
      </c>
      <c r="C195" s="162">
        <v>6.64</v>
      </c>
    </row>
    <row r="196" spans="1:3" ht="117" x14ac:dyDescent="0.35">
      <c r="A196" s="161" t="s">
        <v>268</v>
      </c>
      <c r="B196" s="162">
        <v>3.92</v>
      </c>
      <c r="C196" s="162">
        <v>0.89</v>
      </c>
    </row>
    <row r="197" spans="1:3" ht="156" x14ac:dyDescent="0.35">
      <c r="A197" s="161" t="s">
        <v>269</v>
      </c>
      <c r="B197" s="162">
        <v>6.68</v>
      </c>
      <c r="C197" s="162">
        <v>6.93</v>
      </c>
    </row>
    <row r="198" spans="1:3" ht="65" x14ac:dyDescent="0.35">
      <c r="A198" s="159" t="s">
        <v>270</v>
      </c>
      <c r="B198" s="162">
        <v>25.86</v>
      </c>
      <c r="C198" s="162">
        <v>38.21</v>
      </c>
    </row>
    <row r="199" spans="1:3" ht="65" x14ac:dyDescent="0.35">
      <c r="A199" s="159" t="s">
        <v>271</v>
      </c>
      <c r="B199" s="162">
        <v>18.93</v>
      </c>
      <c r="C199" s="162">
        <v>17.809999999999999</v>
      </c>
    </row>
    <row r="200" spans="1:3" ht="78" x14ac:dyDescent="0.35">
      <c r="A200" s="159" t="s">
        <v>272</v>
      </c>
      <c r="B200" s="162">
        <v>3.92</v>
      </c>
      <c r="C200" s="162">
        <v>0.89</v>
      </c>
    </row>
    <row r="201" spans="1:3" ht="26" x14ac:dyDescent="0.35">
      <c r="A201" s="157" t="s">
        <v>273</v>
      </c>
      <c r="B201" s="158"/>
      <c r="C201" s="158"/>
    </row>
    <row r="202" spans="1:3" ht="91" x14ac:dyDescent="0.35">
      <c r="A202" s="159" t="s">
        <v>274</v>
      </c>
      <c r="B202" s="168">
        <v>11000</v>
      </c>
      <c r="C202" s="168">
        <v>12000</v>
      </c>
    </row>
    <row r="203" spans="1:3" ht="104" x14ac:dyDescent="0.35">
      <c r="A203" s="159" t="s">
        <v>275</v>
      </c>
      <c r="B203" s="168">
        <v>11000</v>
      </c>
      <c r="C203" s="168">
        <v>12000</v>
      </c>
    </row>
    <row r="204" spans="1:3" x14ac:dyDescent="0.35">
      <c r="A204"/>
      <c r="B204"/>
      <c r="C204"/>
    </row>
    <row r="205" spans="1:3" x14ac:dyDescent="0.35">
      <c r="A205" s="151" t="s">
        <v>110</v>
      </c>
      <c r="B205" s="152" t="s">
        <v>111</v>
      </c>
      <c r="C205" s="152" t="s">
        <v>112</v>
      </c>
    </row>
    <row r="206" spans="1:3" x14ac:dyDescent="0.35">
      <c r="A206" s="153" t="s">
        <v>113</v>
      </c>
      <c r="B206" s="154">
        <v>45657</v>
      </c>
      <c r="C206" s="154">
        <v>46022</v>
      </c>
    </row>
    <row r="207" spans="1:3" x14ac:dyDescent="0.35">
      <c r="A207" s="153" t="s">
        <v>114</v>
      </c>
      <c r="B207" s="154" t="s">
        <v>115</v>
      </c>
      <c r="C207" s="154" t="s">
        <v>115</v>
      </c>
    </row>
    <row r="208" spans="1:3" ht="91.5" x14ac:dyDescent="0.35">
      <c r="A208" s="155" t="s">
        <v>276</v>
      </c>
      <c r="B208" s="151"/>
      <c r="C208" s="151"/>
    </row>
    <row r="209" spans="1:3" ht="26.5" x14ac:dyDescent="0.35">
      <c r="A209" s="155" t="s">
        <v>117</v>
      </c>
      <c r="B209" s="156" t="s">
        <v>118</v>
      </c>
      <c r="C209" s="156" t="s">
        <v>119</v>
      </c>
    </row>
    <row r="210" spans="1:3" x14ac:dyDescent="0.35">
      <c r="A210" s="157" t="s">
        <v>277</v>
      </c>
      <c r="B210" s="158"/>
      <c r="C210" s="158"/>
    </row>
    <row r="211" spans="1:3" ht="52" x14ac:dyDescent="0.35">
      <c r="A211" s="159" t="s">
        <v>278</v>
      </c>
      <c r="B211" s="160">
        <v>3810.24</v>
      </c>
      <c r="C211" s="160">
        <v>5282.06</v>
      </c>
    </row>
    <row r="212" spans="1:3" ht="104" x14ac:dyDescent="0.35">
      <c r="A212" s="161" t="s">
        <v>279</v>
      </c>
      <c r="B212" s="162">
        <v>30.7</v>
      </c>
      <c r="C212" s="168"/>
    </row>
    <row r="213" spans="1:3" ht="130" x14ac:dyDescent="0.35">
      <c r="A213" s="161" t="s">
        <v>806</v>
      </c>
      <c r="B213" s="160">
        <v>1007.2</v>
      </c>
      <c r="C213" s="160">
        <v>1448.9</v>
      </c>
    </row>
    <row r="214" spans="1:3" ht="104" x14ac:dyDescent="0.35">
      <c r="A214" s="161" t="s">
        <v>475</v>
      </c>
      <c r="B214" s="160">
        <v>4786.74</v>
      </c>
      <c r="C214" s="160">
        <v>6730.96</v>
      </c>
    </row>
    <row r="215" spans="1:3" ht="91" x14ac:dyDescent="0.35">
      <c r="A215" s="159" t="s">
        <v>528</v>
      </c>
      <c r="B215" s="168"/>
      <c r="C215" s="162">
        <v>60.97</v>
      </c>
    </row>
    <row r="216" spans="1:3" ht="65" x14ac:dyDescent="0.35">
      <c r="A216" s="163" t="s">
        <v>64</v>
      </c>
      <c r="B216" s="164">
        <v>3810.24</v>
      </c>
      <c r="C216" s="164">
        <v>5343.03</v>
      </c>
    </row>
    <row r="217" spans="1:3" ht="26" x14ac:dyDescent="0.35">
      <c r="A217" s="157" t="s">
        <v>280</v>
      </c>
      <c r="B217" s="158"/>
      <c r="C217" s="158"/>
    </row>
    <row r="218" spans="1:3" ht="39" x14ac:dyDescent="0.35">
      <c r="A218" s="159" t="s">
        <v>281</v>
      </c>
      <c r="B218" s="160">
        <v>594.09</v>
      </c>
      <c r="C218" s="160">
        <v>668.54</v>
      </c>
    </row>
    <row r="219" spans="1:3" ht="52" x14ac:dyDescent="0.35">
      <c r="A219" s="161" t="s">
        <v>282</v>
      </c>
      <c r="B219" s="160">
        <v>594.09</v>
      </c>
      <c r="C219" s="160">
        <v>668.54</v>
      </c>
    </row>
    <row r="220" spans="1:3" ht="104" x14ac:dyDescent="0.35">
      <c r="A220" s="165" t="s">
        <v>283</v>
      </c>
      <c r="B220" s="160">
        <v>589.36</v>
      </c>
      <c r="C220" s="160">
        <v>658.54</v>
      </c>
    </row>
    <row r="221" spans="1:3" ht="117" x14ac:dyDescent="0.35">
      <c r="A221" s="165" t="s">
        <v>494</v>
      </c>
      <c r="B221" s="162">
        <v>4.7300000000000004</v>
      </c>
      <c r="C221" s="162">
        <v>10</v>
      </c>
    </row>
    <row r="222" spans="1:3" ht="65" x14ac:dyDescent="0.35">
      <c r="A222" s="163" t="s">
        <v>68</v>
      </c>
      <c r="B222" s="164">
        <v>3216.15</v>
      </c>
      <c r="C222" s="164">
        <v>4674.49</v>
      </c>
    </row>
    <row r="223" spans="1:3" ht="78" x14ac:dyDescent="0.35">
      <c r="A223" s="159" t="s">
        <v>286</v>
      </c>
      <c r="B223" s="160">
        <v>3784.35</v>
      </c>
      <c r="C223" s="160">
        <v>4227.3599999999997</v>
      </c>
    </row>
    <row r="224" spans="1:3" ht="117" x14ac:dyDescent="0.35">
      <c r="A224" s="161" t="s">
        <v>287</v>
      </c>
      <c r="B224" s="160">
        <v>1575.28</v>
      </c>
      <c r="C224" s="160">
        <v>1788.62</v>
      </c>
    </row>
    <row r="225" spans="1:3" ht="260" x14ac:dyDescent="0.35">
      <c r="A225" s="161" t="s">
        <v>547</v>
      </c>
      <c r="B225" s="160">
        <v>255.68</v>
      </c>
      <c r="C225" s="160">
        <v>292.81</v>
      </c>
    </row>
    <row r="226" spans="1:3" ht="78" x14ac:dyDescent="0.35">
      <c r="A226" s="161" t="s">
        <v>529</v>
      </c>
      <c r="B226" s="160">
        <v>1953.3</v>
      </c>
      <c r="C226" s="160">
        <v>2145.87</v>
      </c>
    </row>
    <row r="227" spans="1:3" ht="156" x14ac:dyDescent="0.35">
      <c r="A227" s="161" t="s">
        <v>576</v>
      </c>
      <c r="B227" s="162">
        <v>0.1</v>
      </c>
      <c r="C227" s="162">
        <v>7.0000000000000007E-2</v>
      </c>
    </row>
    <row r="228" spans="1:3" ht="65" x14ac:dyDescent="0.35">
      <c r="A228" s="159" t="s">
        <v>291</v>
      </c>
      <c r="B228" s="168"/>
      <c r="C228" s="168">
        <v>0</v>
      </c>
    </row>
    <row r="229" spans="1:3" ht="39" x14ac:dyDescent="0.35">
      <c r="A229" s="159" t="s">
        <v>76</v>
      </c>
      <c r="B229" s="160">
        <v>4378.4399999999996</v>
      </c>
      <c r="C229" s="160">
        <v>4895.8999999999996</v>
      </c>
    </row>
    <row r="230" spans="1:3" ht="26" x14ac:dyDescent="0.35">
      <c r="A230" s="157" t="s">
        <v>292</v>
      </c>
      <c r="B230" s="158"/>
      <c r="C230" s="158"/>
    </row>
    <row r="231" spans="1:3" ht="91" x14ac:dyDescent="0.35">
      <c r="A231" s="163" t="s">
        <v>293</v>
      </c>
      <c r="B231" s="174">
        <v>-568.20000000000005</v>
      </c>
      <c r="C231" s="164">
        <v>447.14</v>
      </c>
    </row>
    <row r="232" spans="1:3" ht="39" x14ac:dyDescent="0.35">
      <c r="A232" s="157" t="s">
        <v>294</v>
      </c>
      <c r="B232" s="158"/>
      <c r="C232" s="158"/>
    </row>
    <row r="233" spans="1:3" ht="65" x14ac:dyDescent="0.35">
      <c r="A233" s="159" t="s">
        <v>295</v>
      </c>
      <c r="B233" s="162">
        <v>40.24</v>
      </c>
      <c r="C233" s="170">
        <v>-46.01</v>
      </c>
    </row>
    <row r="234" spans="1:3" ht="117" x14ac:dyDescent="0.35">
      <c r="A234" s="161" t="s">
        <v>81</v>
      </c>
      <c r="B234" s="170">
        <v>-47.84</v>
      </c>
      <c r="C234" s="170">
        <v>-12.27</v>
      </c>
    </row>
    <row r="235" spans="1:3" ht="91" x14ac:dyDescent="0.35">
      <c r="A235" s="165" t="s">
        <v>296</v>
      </c>
      <c r="B235" s="162">
        <v>94.73</v>
      </c>
      <c r="C235" s="162">
        <v>70.510000000000005</v>
      </c>
    </row>
    <row r="236" spans="1:3" ht="156" x14ac:dyDescent="0.35">
      <c r="A236" s="165" t="s">
        <v>297</v>
      </c>
      <c r="B236" s="162">
        <v>46.89</v>
      </c>
      <c r="C236" s="162">
        <v>58.23</v>
      </c>
    </row>
    <row r="237" spans="1:3" ht="409.5" x14ac:dyDescent="0.35">
      <c r="A237" s="166" t="s">
        <v>298</v>
      </c>
      <c r="B237" s="162">
        <v>79.05</v>
      </c>
      <c r="C237" s="162">
        <v>70.680000000000007</v>
      </c>
    </row>
    <row r="238" spans="1:3" ht="195" x14ac:dyDescent="0.35">
      <c r="A238" s="166" t="s">
        <v>299</v>
      </c>
      <c r="B238" s="162">
        <v>32.159999999999997</v>
      </c>
      <c r="C238" s="162">
        <v>12.44</v>
      </c>
    </row>
    <row r="239" spans="1:3" ht="117" x14ac:dyDescent="0.35">
      <c r="A239" s="161" t="s">
        <v>300</v>
      </c>
      <c r="B239" s="170">
        <v>-7.6</v>
      </c>
      <c r="C239" s="170">
        <v>-58.28</v>
      </c>
    </row>
    <row r="240" spans="1:3" ht="208" x14ac:dyDescent="0.35">
      <c r="A240" s="165" t="s">
        <v>592</v>
      </c>
      <c r="B240" s="170">
        <v>-7.6</v>
      </c>
      <c r="C240" s="170">
        <v>-58.28</v>
      </c>
    </row>
    <row r="241" spans="1:3" ht="104" x14ac:dyDescent="0.35">
      <c r="A241" s="159" t="s">
        <v>303</v>
      </c>
      <c r="B241" s="170">
        <v>-10.27</v>
      </c>
      <c r="C241" s="170">
        <v>-14.98</v>
      </c>
    </row>
    <row r="242" spans="1:3" ht="78" x14ac:dyDescent="0.35">
      <c r="A242" s="159" t="s">
        <v>438</v>
      </c>
      <c r="B242" s="162">
        <v>6.54</v>
      </c>
      <c r="C242" s="162">
        <v>31.96</v>
      </c>
    </row>
    <row r="243" spans="1:3" ht="39" x14ac:dyDescent="0.35">
      <c r="A243" s="159" t="s">
        <v>304</v>
      </c>
      <c r="B243" s="169">
        <v>-531.69000000000005</v>
      </c>
      <c r="C243" s="160">
        <v>418.11</v>
      </c>
    </row>
    <row r="244" spans="1:3" ht="52" x14ac:dyDescent="0.35">
      <c r="A244" s="157" t="s">
        <v>305</v>
      </c>
      <c r="B244" s="158"/>
      <c r="C244" s="158"/>
    </row>
    <row r="245" spans="1:3" ht="65" x14ac:dyDescent="0.35">
      <c r="A245" s="159" t="s">
        <v>306</v>
      </c>
      <c r="B245" s="170">
        <v>-1.31</v>
      </c>
      <c r="C245" s="170">
        <v>-1.25</v>
      </c>
    </row>
    <row r="246" spans="1:3" ht="104" x14ac:dyDescent="0.35">
      <c r="A246" s="161" t="s">
        <v>530</v>
      </c>
      <c r="B246" s="170">
        <v>-1.31</v>
      </c>
      <c r="C246" s="170">
        <v>-1.25</v>
      </c>
    </row>
    <row r="247" spans="1:3" ht="26" x14ac:dyDescent="0.35">
      <c r="A247" s="157" t="s">
        <v>313</v>
      </c>
      <c r="B247" s="158"/>
      <c r="C247" s="158"/>
    </row>
    <row r="248" spans="1:3" ht="39" x14ac:dyDescent="0.35">
      <c r="A248" s="163" t="s">
        <v>83</v>
      </c>
      <c r="B248" s="174">
        <v>-533</v>
      </c>
      <c r="C248" s="164">
        <v>416.85</v>
      </c>
    </row>
    <row r="249" spans="1:3" x14ac:dyDescent="0.35">
      <c r="A249" s="157" t="s">
        <v>314</v>
      </c>
      <c r="B249" s="158"/>
      <c r="C249" s="158"/>
    </row>
    <row r="250" spans="1:3" ht="26" x14ac:dyDescent="0.35">
      <c r="A250" s="159" t="s">
        <v>84</v>
      </c>
      <c r="B250" s="160">
        <v>111.79</v>
      </c>
      <c r="C250" s="160">
        <v>129.91999999999999</v>
      </c>
    </row>
    <row r="251" spans="1:3" ht="78" x14ac:dyDescent="0.35">
      <c r="A251" s="161" t="s">
        <v>315</v>
      </c>
      <c r="B251" s="162">
        <v>85.78</v>
      </c>
      <c r="C251" s="160">
        <v>120.45</v>
      </c>
    </row>
    <row r="252" spans="1:3" ht="117" x14ac:dyDescent="0.35">
      <c r="A252" s="165" t="s">
        <v>316</v>
      </c>
      <c r="B252" s="162">
        <v>12.33</v>
      </c>
      <c r="C252" s="162">
        <v>23.13</v>
      </c>
    </row>
    <row r="253" spans="1:3" ht="104" x14ac:dyDescent="0.35">
      <c r="A253" s="165" t="s">
        <v>317</v>
      </c>
      <c r="B253" s="162">
        <v>57.22</v>
      </c>
      <c r="C253" s="162">
        <v>39.39</v>
      </c>
    </row>
    <row r="254" spans="1:3" ht="143" x14ac:dyDescent="0.35">
      <c r="A254" s="165" t="s">
        <v>557</v>
      </c>
      <c r="B254" s="162">
        <v>16.23</v>
      </c>
      <c r="C254" s="162">
        <v>57.93</v>
      </c>
    </row>
    <row r="255" spans="1:3" ht="52" x14ac:dyDescent="0.35">
      <c r="A255" s="161" t="s">
        <v>318</v>
      </c>
      <c r="B255" s="162">
        <v>26.01</v>
      </c>
      <c r="C255" s="162">
        <v>9.4700000000000006</v>
      </c>
    </row>
    <row r="256" spans="1:3" ht="117" x14ac:dyDescent="0.35">
      <c r="A256" s="165" t="s">
        <v>319</v>
      </c>
      <c r="B256" s="162">
        <v>0.18</v>
      </c>
      <c r="C256" s="162">
        <v>5.45</v>
      </c>
    </row>
    <row r="257" spans="1:3" ht="104" x14ac:dyDescent="0.35">
      <c r="A257" s="165" t="s">
        <v>320</v>
      </c>
      <c r="B257" s="162">
        <v>23.56</v>
      </c>
      <c r="C257" s="162">
        <v>6.04</v>
      </c>
    </row>
    <row r="258" spans="1:3" ht="104" x14ac:dyDescent="0.35">
      <c r="A258" s="165" t="s">
        <v>558</v>
      </c>
      <c r="B258" s="162">
        <v>2.27</v>
      </c>
      <c r="C258" s="170">
        <v>-2.02</v>
      </c>
    </row>
    <row r="259" spans="1:3" ht="39" x14ac:dyDescent="0.35">
      <c r="A259" s="157" t="s">
        <v>321</v>
      </c>
      <c r="B259" s="158"/>
      <c r="C259" s="158"/>
    </row>
    <row r="260" spans="1:3" ht="39" x14ac:dyDescent="0.35">
      <c r="A260" s="159" t="s">
        <v>322</v>
      </c>
      <c r="B260" s="169">
        <v>-644.79</v>
      </c>
      <c r="C260" s="160">
        <v>286.93</v>
      </c>
    </row>
    <row r="261" spans="1:3" ht="39" x14ac:dyDescent="0.35">
      <c r="A261" s="157" t="s">
        <v>323</v>
      </c>
      <c r="B261" s="158"/>
      <c r="C261" s="158"/>
    </row>
    <row r="262" spans="1:3" ht="117" x14ac:dyDescent="0.35">
      <c r="A262" s="163" t="s">
        <v>324</v>
      </c>
      <c r="B262" s="174">
        <v>-644.79</v>
      </c>
      <c r="C262" s="164">
        <v>286.93</v>
      </c>
    </row>
    <row r="263" spans="1:3" ht="65" x14ac:dyDescent="0.35">
      <c r="A263" s="159" t="s">
        <v>327</v>
      </c>
      <c r="B263" s="169">
        <v>-644.79</v>
      </c>
      <c r="C263" s="160">
        <v>286.93</v>
      </c>
    </row>
    <row r="264" spans="1:3" ht="65" x14ac:dyDescent="0.35">
      <c r="A264" s="159" t="s">
        <v>85</v>
      </c>
      <c r="B264" s="169">
        <v>-644.79</v>
      </c>
      <c r="C264" s="160">
        <v>286.93</v>
      </c>
    </row>
    <row r="265" spans="1:3" ht="26" x14ac:dyDescent="0.35">
      <c r="A265" s="157" t="s">
        <v>328</v>
      </c>
      <c r="B265" s="158"/>
      <c r="C265" s="158"/>
    </row>
    <row r="266" spans="1:3" ht="65" x14ac:dyDescent="0.35">
      <c r="A266" s="163" t="s">
        <v>330</v>
      </c>
      <c r="B266" s="174">
        <v>-644.79</v>
      </c>
      <c r="C266" s="164">
        <v>286.93</v>
      </c>
    </row>
    <row r="267" spans="1:3" ht="52" x14ac:dyDescent="0.35">
      <c r="A267" s="157" t="s">
        <v>331</v>
      </c>
      <c r="B267" s="158"/>
      <c r="C267" s="158"/>
    </row>
    <row r="268" spans="1:3" ht="78" x14ac:dyDescent="0.35">
      <c r="A268" s="159" t="s">
        <v>332</v>
      </c>
      <c r="B268" s="169">
        <v>-644.79</v>
      </c>
      <c r="C268" s="160">
        <v>286.93</v>
      </c>
    </row>
    <row r="269" spans="1:3" ht="78" x14ac:dyDescent="0.35">
      <c r="A269" s="159" t="s">
        <v>333</v>
      </c>
      <c r="B269" s="170">
        <v>-47.56</v>
      </c>
      <c r="C269" s="162">
        <v>69.3</v>
      </c>
    </row>
    <row r="270" spans="1:3" ht="130" x14ac:dyDescent="0.35">
      <c r="A270" s="159" t="s">
        <v>334</v>
      </c>
      <c r="B270" s="170">
        <v>-0.04</v>
      </c>
      <c r="C270" s="162">
        <v>1.5</v>
      </c>
    </row>
    <row r="271" spans="1:3" ht="78" x14ac:dyDescent="0.35">
      <c r="A271" s="159" t="s">
        <v>336</v>
      </c>
      <c r="B271" s="170">
        <v>-1.94</v>
      </c>
      <c r="C271" s="168"/>
    </row>
    <row r="272" spans="1:3" ht="78" x14ac:dyDescent="0.35">
      <c r="A272" s="159" t="s">
        <v>338</v>
      </c>
      <c r="B272" s="170">
        <v>-49.54</v>
      </c>
      <c r="C272" s="162">
        <v>70.8</v>
      </c>
    </row>
    <row r="273" spans="1:3" ht="91" x14ac:dyDescent="0.35">
      <c r="A273" s="163" t="s">
        <v>339</v>
      </c>
      <c r="B273" s="174">
        <v>-694.33</v>
      </c>
      <c r="C273" s="164">
        <v>357.74</v>
      </c>
    </row>
    <row r="274" spans="1:3" ht="130" x14ac:dyDescent="0.35">
      <c r="A274" s="159" t="s">
        <v>340</v>
      </c>
      <c r="B274" s="169">
        <v>-694.33</v>
      </c>
      <c r="C274" s="160">
        <v>357.74</v>
      </c>
    </row>
    <row r="275" spans="1:3" ht="39" x14ac:dyDescent="0.35">
      <c r="A275" s="157" t="s">
        <v>341</v>
      </c>
      <c r="B275" s="158"/>
      <c r="C275" s="158"/>
    </row>
    <row r="276" spans="1:3" ht="143" x14ac:dyDescent="0.35">
      <c r="A276" s="159" t="s">
        <v>342</v>
      </c>
      <c r="B276" s="169">
        <v>-644.79</v>
      </c>
      <c r="C276" s="160">
        <v>286.93</v>
      </c>
    </row>
    <row r="277" spans="1:3" ht="130" x14ac:dyDescent="0.35">
      <c r="A277" s="161" t="s">
        <v>343</v>
      </c>
      <c r="B277" s="169">
        <v>-644.79</v>
      </c>
      <c r="C277" s="160">
        <v>286.93</v>
      </c>
    </row>
    <row r="278" spans="1:3" ht="91" x14ac:dyDescent="0.35">
      <c r="A278" s="161" t="s">
        <v>344</v>
      </c>
      <c r="B278" s="160">
        <v>1368.75</v>
      </c>
      <c r="C278" s="160">
        <v>1417.8</v>
      </c>
    </row>
    <row r="279" spans="1:3" ht="260" x14ac:dyDescent="0.35">
      <c r="A279" s="165" t="s">
        <v>345</v>
      </c>
      <c r="B279" s="170">
        <v>-0.47</v>
      </c>
      <c r="C279" s="162">
        <v>0.2</v>
      </c>
    </row>
    <row r="280" spans="1:3" ht="260" x14ac:dyDescent="0.35">
      <c r="A280" s="165" t="s">
        <v>346</v>
      </c>
      <c r="B280" s="170">
        <v>-0.47</v>
      </c>
      <c r="C280" s="162">
        <v>0.2</v>
      </c>
    </row>
    <row r="281" spans="1:3" ht="221" x14ac:dyDescent="0.35">
      <c r="A281" s="165" t="s">
        <v>347</v>
      </c>
      <c r="B281" s="170">
        <v>-0.47</v>
      </c>
      <c r="C281" s="162">
        <v>0.2</v>
      </c>
    </row>
    <row r="282" spans="1:3" ht="156" x14ac:dyDescent="0.35">
      <c r="A282" s="159" t="s">
        <v>348</v>
      </c>
      <c r="B282" s="169">
        <v>-644.79</v>
      </c>
      <c r="C282" s="160">
        <v>286.93</v>
      </c>
    </row>
    <row r="283" spans="1:3" ht="78" x14ac:dyDescent="0.35">
      <c r="A283" s="159" t="s">
        <v>349</v>
      </c>
      <c r="B283" s="162">
        <v>1</v>
      </c>
      <c r="C283" s="162">
        <v>1</v>
      </c>
    </row>
    <row r="284" spans="1:3" ht="104" x14ac:dyDescent="0.35">
      <c r="A284" s="161" t="s">
        <v>350</v>
      </c>
      <c r="B284" s="160">
        <v>1368.75</v>
      </c>
      <c r="C284" s="160">
        <v>1417.8</v>
      </c>
    </row>
    <row r="285" spans="1:3" ht="286" x14ac:dyDescent="0.35">
      <c r="A285" s="165" t="s">
        <v>351</v>
      </c>
      <c r="B285" s="170">
        <v>-0.47</v>
      </c>
      <c r="C285" s="162">
        <v>0.2</v>
      </c>
    </row>
    <row r="286" spans="1:3" ht="286" x14ac:dyDescent="0.35">
      <c r="A286" s="165" t="s">
        <v>352</v>
      </c>
      <c r="B286" s="170">
        <v>-0.47</v>
      </c>
      <c r="C286" s="162">
        <v>0.2</v>
      </c>
    </row>
    <row r="287" spans="1:3" ht="247" x14ac:dyDescent="0.35">
      <c r="A287" s="165" t="s">
        <v>353</v>
      </c>
      <c r="B287" s="170">
        <v>-0.47</v>
      </c>
      <c r="C287" s="162">
        <v>0.2</v>
      </c>
    </row>
    <row r="288" spans="1:3" ht="117" x14ac:dyDescent="0.35">
      <c r="A288" s="159" t="s">
        <v>354</v>
      </c>
      <c r="B288" s="168">
        <v>0</v>
      </c>
      <c r="C288" s="168">
        <v>0</v>
      </c>
    </row>
    <row r="289" spans="1:3" ht="91" x14ac:dyDescent="0.35">
      <c r="A289" s="159" t="s">
        <v>355</v>
      </c>
      <c r="B289" s="170">
        <v>-0.51</v>
      </c>
      <c r="C289" s="162">
        <v>0.25</v>
      </c>
    </row>
    <row r="290" spans="1:3" ht="39" x14ac:dyDescent="0.35">
      <c r="A290" s="157" t="s">
        <v>356</v>
      </c>
      <c r="B290" s="158"/>
      <c r="C290" s="158"/>
    </row>
    <row r="291" spans="1:3" ht="143" x14ac:dyDescent="0.35">
      <c r="A291" s="159" t="s">
        <v>357</v>
      </c>
      <c r="B291" s="169">
        <v>-644.79</v>
      </c>
      <c r="C291" s="160">
        <v>286.93</v>
      </c>
    </row>
    <row r="292" spans="1:3" ht="143" x14ac:dyDescent="0.35">
      <c r="A292" s="161" t="s">
        <v>358</v>
      </c>
      <c r="B292" s="169">
        <v>-644.79</v>
      </c>
      <c r="C292" s="160">
        <v>286.93</v>
      </c>
    </row>
    <row r="293" spans="1:3" ht="91" x14ac:dyDescent="0.35">
      <c r="A293" s="161" t="s">
        <v>359</v>
      </c>
      <c r="B293" s="160">
        <v>1368.75</v>
      </c>
      <c r="C293" s="160">
        <v>1474.83</v>
      </c>
    </row>
    <row r="294" spans="1:3" ht="260" x14ac:dyDescent="0.35">
      <c r="A294" s="165" t="s">
        <v>360</v>
      </c>
      <c r="B294" s="170">
        <v>-0.47</v>
      </c>
      <c r="C294" s="162">
        <v>0.19</v>
      </c>
    </row>
    <row r="295" spans="1:3" ht="260" x14ac:dyDescent="0.35">
      <c r="A295" s="165" t="s">
        <v>361</v>
      </c>
      <c r="B295" s="170">
        <v>-0.47</v>
      </c>
      <c r="C295" s="162">
        <v>0.19</v>
      </c>
    </row>
    <row r="296" spans="1:3" ht="221" x14ac:dyDescent="0.35">
      <c r="A296" s="165" t="s">
        <v>362</v>
      </c>
      <c r="B296" s="170">
        <v>-0.47</v>
      </c>
      <c r="C296" s="162">
        <v>0.2</v>
      </c>
    </row>
    <row r="297" spans="1:3" ht="169" x14ac:dyDescent="0.35">
      <c r="A297" s="159" t="s">
        <v>363</v>
      </c>
      <c r="B297" s="169">
        <v>-644.79</v>
      </c>
      <c r="C297" s="160">
        <v>286.93</v>
      </c>
    </row>
    <row r="298" spans="1:3" ht="78" x14ac:dyDescent="0.35">
      <c r="A298" s="159" t="s">
        <v>364</v>
      </c>
      <c r="B298" s="162">
        <v>1</v>
      </c>
      <c r="C298" s="162">
        <v>1</v>
      </c>
    </row>
    <row r="299" spans="1:3" ht="104" x14ac:dyDescent="0.35">
      <c r="A299" s="161" t="s">
        <v>365</v>
      </c>
      <c r="B299" s="160">
        <v>1368.75</v>
      </c>
      <c r="C299" s="160">
        <v>1474.83</v>
      </c>
    </row>
    <row r="300" spans="1:3" ht="286" x14ac:dyDescent="0.35">
      <c r="A300" s="165" t="s">
        <v>366</v>
      </c>
      <c r="B300" s="170">
        <v>-0.47</v>
      </c>
      <c r="C300" s="162">
        <v>0.19</v>
      </c>
    </row>
    <row r="301" spans="1:3" ht="286" x14ac:dyDescent="0.35">
      <c r="A301" s="165" t="s">
        <v>367</v>
      </c>
      <c r="B301" s="170">
        <v>-0.47</v>
      </c>
      <c r="C301" s="162">
        <v>0.19</v>
      </c>
    </row>
    <row r="302" spans="1:3" ht="247" x14ac:dyDescent="0.35">
      <c r="A302" s="165" t="s">
        <v>368</v>
      </c>
      <c r="B302" s="170">
        <v>-0.47</v>
      </c>
      <c r="C302" s="162">
        <v>0.2</v>
      </c>
    </row>
    <row r="303" spans="1:3" ht="130" x14ac:dyDescent="0.35">
      <c r="A303" s="159" t="s">
        <v>369</v>
      </c>
      <c r="B303" s="168">
        <v>0</v>
      </c>
      <c r="C303" s="168">
        <v>0</v>
      </c>
    </row>
    <row r="304" spans="1:3" ht="91" x14ac:dyDescent="0.35">
      <c r="A304" s="159" t="s">
        <v>370</v>
      </c>
      <c r="B304" s="170">
        <v>-0.51</v>
      </c>
      <c r="C304" s="162">
        <v>0.24</v>
      </c>
    </row>
    <row r="305" spans="1:3" ht="39" x14ac:dyDescent="0.35">
      <c r="A305" s="157" t="s">
        <v>371</v>
      </c>
      <c r="B305" s="158"/>
      <c r="C305" s="158"/>
    </row>
    <row r="306" spans="1:3" ht="91" x14ac:dyDescent="0.35">
      <c r="A306" s="159" t="s">
        <v>372</v>
      </c>
      <c r="B306" s="168">
        <v>0</v>
      </c>
      <c r="C306" s="168">
        <v>0</v>
      </c>
    </row>
    <row r="307" spans="1:3" ht="91" x14ac:dyDescent="0.35">
      <c r="A307" s="159" t="s">
        <v>372</v>
      </c>
      <c r="B307" s="168">
        <v>0</v>
      </c>
      <c r="C307" s="168">
        <v>0</v>
      </c>
    </row>
    <row r="308" spans="1:3" ht="91" x14ac:dyDescent="0.35">
      <c r="A308" s="159" t="s">
        <v>373</v>
      </c>
      <c r="B308" s="168">
        <v>0</v>
      </c>
      <c r="C308" s="168">
        <v>0</v>
      </c>
    </row>
    <row r="309" spans="1:3" ht="91" x14ac:dyDescent="0.35">
      <c r="A309" s="159" t="s">
        <v>373</v>
      </c>
      <c r="B309" s="168">
        <v>0</v>
      </c>
      <c r="C309" s="168">
        <v>0</v>
      </c>
    </row>
    <row r="310" spans="1:3" ht="104" x14ac:dyDescent="0.35">
      <c r="A310" s="159" t="s">
        <v>541</v>
      </c>
      <c r="B310" s="168">
        <v>0</v>
      </c>
      <c r="C310" s="168">
        <v>0</v>
      </c>
    </row>
    <row r="311" spans="1:3" ht="104" x14ac:dyDescent="0.35">
      <c r="A311" s="159" t="s">
        <v>542</v>
      </c>
      <c r="B311" s="168">
        <v>0</v>
      </c>
      <c r="C311" s="168">
        <v>0</v>
      </c>
    </row>
    <row r="312" spans="1:3" ht="39" x14ac:dyDescent="0.35">
      <c r="A312" s="157" t="s">
        <v>374</v>
      </c>
      <c r="B312" s="158"/>
      <c r="C312" s="158"/>
    </row>
    <row r="313" spans="1:3" ht="65" x14ac:dyDescent="0.35">
      <c r="A313" s="159" t="s">
        <v>78</v>
      </c>
      <c r="B313" s="169">
        <v>-568.20000000000005</v>
      </c>
      <c r="C313" s="160">
        <v>447.14</v>
      </c>
    </row>
    <row r="314" spans="1:3" ht="117" x14ac:dyDescent="0.35">
      <c r="A314" s="159" t="s">
        <v>80</v>
      </c>
      <c r="B314" s="169">
        <v>-396.44</v>
      </c>
      <c r="C314" s="160">
        <v>588.82000000000005</v>
      </c>
    </row>
    <row r="315" spans="1:3" ht="169" x14ac:dyDescent="0.35">
      <c r="A315" s="159" t="s">
        <v>376</v>
      </c>
      <c r="B315" s="169">
        <v>-369.86</v>
      </c>
      <c r="C315" s="160">
        <v>613.72</v>
      </c>
    </row>
    <row r="316" spans="1:3" ht="65" x14ac:dyDescent="0.35">
      <c r="A316" s="157" t="s">
        <v>377</v>
      </c>
      <c r="B316" s="158"/>
      <c r="C316" s="158"/>
    </row>
    <row r="317" spans="1:3" ht="78" x14ac:dyDescent="0.35">
      <c r="A317" s="159" t="s">
        <v>378</v>
      </c>
      <c r="B317" s="160">
        <v>171.76</v>
      </c>
      <c r="C317" s="160">
        <v>141.69</v>
      </c>
    </row>
    <row r="318" spans="1:3" ht="91" x14ac:dyDescent="0.35">
      <c r="A318" s="161" t="s">
        <v>379</v>
      </c>
      <c r="B318" s="160">
        <v>166.94</v>
      </c>
      <c r="C318" s="160">
        <v>131.62</v>
      </c>
    </row>
    <row r="319" spans="1:3" ht="65" x14ac:dyDescent="0.35">
      <c r="A319" s="161" t="s">
        <v>477</v>
      </c>
      <c r="B319" s="162">
        <v>4.82</v>
      </c>
      <c r="C319" s="162">
        <v>10.07</v>
      </c>
    </row>
    <row r="320" spans="1:3" ht="52" x14ac:dyDescent="0.35">
      <c r="A320" s="157" t="s">
        <v>381</v>
      </c>
      <c r="B320" s="158"/>
      <c r="C320" s="158"/>
    </row>
    <row r="321" spans="1:3" ht="78" x14ac:dyDescent="0.35">
      <c r="A321" s="159" t="s">
        <v>79</v>
      </c>
      <c r="B321" s="160">
        <v>171.76</v>
      </c>
      <c r="C321" s="160">
        <v>141.69</v>
      </c>
    </row>
    <row r="322" spans="1:3" ht="39" x14ac:dyDescent="0.35">
      <c r="A322" s="161" t="s">
        <v>382</v>
      </c>
      <c r="B322" s="160">
        <v>166.94</v>
      </c>
      <c r="C322" s="160">
        <v>131.62</v>
      </c>
    </row>
    <row r="323" spans="1:3" ht="143" x14ac:dyDescent="0.35">
      <c r="A323" s="161" t="s">
        <v>498</v>
      </c>
      <c r="B323" s="162">
        <v>4.82</v>
      </c>
      <c r="C323" s="162">
        <v>10.07</v>
      </c>
    </row>
    <row r="324" spans="1:3" ht="52" x14ac:dyDescent="0.35">
      <c r="A324" s="157" t="s">
        <v>383</v>
      </c>
      <c r="B324" s="158"/>
      <c r="C324" s="158"/>
    </row>
    <row r="325" spans="1:3" ht="143" x14ac:dyDescent="0.35">
      <c r="A325" s="159" t="s">
        <v>384</v>
      </c>
      <c r="B325" s="160">
        <v>1953.3</v>
      </c>
      <c r="C325" s="160">
        <v>2145.87</v>
      </c>
    </row>
    <row r="326" spans="1:3" ht="104" x14ac:dyDescent="0.35">
      <c r="A326" s="161" t="s">
        <v>72</v>
      </c>
      <c r="B326" s="160">
        <v>1953.3</v>
      </c>
      <c r="C326" s="160">
        <v>2145.87</v>
      </c>
    </row>
    <row r="327" spans="1:3" ht="39" x14ac:dyDescent="0.35">
      <c r="A327" s="157" t="s">
        <v>385</v>
      </c>
      <c r="B327" s="158"/>
      <c r="C327" s="158"/>
    </row>
    <row r="328" spans="1:3" ht="65" x14ac:dyDescent="0.35">
      <c r="A328" s="159" t="s">
        <v>386</v>
      </c>
      <c r="B328" s="168"/>
      <c r="C328" s="168"/>
    </row>
    <row r="329" spans="1:3" ht="117" x14ac:dyDescent="0.35">
      <c r="A329" s="161" t="s">
        <v>387</v>
      </c>
      <c r="B329" s="160">
        <v>375.83</v>
      </c>
      <c r="C329" s="160">
        <v>434.07</v>
      </c>
    </row>
    <row r="330" spans="1:3" ht="208" x14ac:dyDescent="0.35">
      <c r="A330" s="165" t="s">
        <v>388</v>
      </c>
      <c r="B330" s="160">
        <v>441.79</v>
      </c>
      <c r="C330" s="160">
        <v>510.25</v>
      </c>
    </row>
    <row r="331" spans="1:3" ht="195" x14ac:dyDescent="0.35">
      <c r="A331" s="165" t="s">
        <v>389</v>
      </c>
      <c r="B331" s="162">
        <v>65.959999999999994</v>
      </c>
      <c r="C331" s="162">
        <v>76.180000000000007</v>
      </c>
    </row>
    <row r="332" spans="1:3" ht="26" x14ac:dyDescent="0.35">
      <c r="A332" s="157" t="s">
        <v>390</v>
      </c>
      <c r="B332" s="158"/>
      <c r="C332" s="158"/>
    </row>
    <row r="333" spans="1:3" ht="26" x14ac:dyDescent="0.35">
      <c r="A333" s="159" t="s">
        <v>390</v>
      </c>
      <c r="B333" s="162">
        <v>8.0500000000000007</v>
      </c>
      <c r="C333" s="162">
        <v>9.39</v>
      </c>
    </row>
    <row r="334" spans="1:3" ht="39" x14ac:dyDescent="0.35">
      <c r="A334" s="161" t="s">
        <v>391</v>
      </c>
      <c r="B334" s="162">
        <v>8.0500000000000007</v>
      </c>
      <c r="C334" s="162">
        <v>9.39</v>
      </c>
    </row>
    <row r="335" spans="1:3" ht="26" x14ac:dyDescent="0.35">
      <c r="A335" s="161" t="s">
        <v>392</v>
      </c>
      <c r="B335" s="168">
        <v>0</v>
      </c>
      <c r="C335" s="168"/>
    </row>
    <row r="336" spans="1:3" ht="26" x14ac:dyDescent="0.35">
      <c r="A336" s="157" t="s">
        <v>393</v>
      </c>
      <c r="B336" s="158"/>
      <c r="C336" s="158"/>
    </row>
    <row r="337" spans="1:3" ht="39" x14ac:dyDescent="0.35">
      <c r="A337" s="159" t="s">
        <v>394</v>
      </c>
      <c r="B337" s="169">
        <v>-643.48</v>
      </c>
      <c r="C337" s="160">
        <v>288.19</v>
      </c>
    </row>
    <row r="338" spans="1:3" ht="104" x14ac:dyDescent="0.35">
      <c r="A338" s="159" t="s">
        <v>395</v>
      </c>
      <c r="B338" s="169">
        <v>-643.48</v>
      </c>
      <c r="C338" s="160">
        <v>288.19</v>
      </c>
    </row>
    <row r="339" spans="1:3" ht="65" x14ac:dyDescent="0.35">
      <c r="A339" s="159" t="s">
        <v>396</v>
      </c>
      <c r="B339" s="169">
        <v>-643.48</v>
      </c>
      <c r="C339" s="160">
        <v>288.19</v>
      </c>
    </row>
    <row r="340" spans="1:3" ht="91" x14ac:dyDescent="0.35">
      <c r="A340" s="159" t="s">
        <v>397</v>
      </c>
      <c r="B340" s="169">
        <v>-579.53</v>
      </c>
      <c r="C340" s="160">
        <v>405.84</v>
      </c>
    </row>
    <row r="341" spans="1:3" ht="143" x14ac:dyDescent="0.35">
      <c r="A341" s="159" t="s">
        <v>398</v>
      </c>
      <c r="B341" s="169">
        <v>-407.77</v>
      </c>
      <c r="C341" s="160">
        <v>547.52</v>
      </c>
    </row>
    <row r="342" spans="1:3" ht="26" x14ac:dyDescent="0.35">
      <c r="A342" s="157" t="s">
        <v>399</v>
      </c>
      <c r="B342" s="158"/>
      <c r="C342" s="158"/>
    </row>
    <row r="343" spans="1:3" ht="65" x14ac:dyDescent="0.35">
      <c r="A343" s="159" t="s">
        <v>400</v>
      </c>
      <c r="B343" s="162">
        <v>34.049999999999997</v>
      </c>
      <c r="C343" s="162">
        <v>30.99</v>
      </c>
    </row>
    <row r="344" spans="1:3" ht="91" x14ac:dyDescent="0.35">
      <c r="A344" s="161" t="s">
        <v>401</v>
      </c>
      <c r="B344" s="162">
        <v>26.58</v>
      </c>
      <c r="C344" s="162">
        <v>24.9</v>
      </c>
    </row>
    <row r="345" spans="1:3" ht="130" x14ac:dyDescent="0.35">
      <c r="A345" s="161" t="s">
        <v>481</v>
      </c>
      <c r="B345" s="162">
        <v>4.58</v>
      </c>
      <c r="C345" s="162">
        <v>4.28</v>
      </c>
    </row>
    <row r="346" spans="1:3" ht="78" x14ac:dyDescent="0.35">
      <c r="A346" s="161" t="s">
        <v>404</v>
      </c>
      <c r="B346" s="162">
        <v>2.9</v>
      </c>
      <c r="C346" s="162">
        <v>1.8</v>
      </c>
    </row>
    <row r="347" spans="1:3" x14ac:dyDescent="0.35">
      <c r="A347" s="157" t="s">
        <v>82</v>
      </c>
      <c r="B347" s="158"/>
      <c r="C347" s="158"/>
    </row>
    <row r="348" spans="1:3" ht="52" x14ac:dyDescent="0.35">
      <c r="A348" s="159" t="s">
        <v>405</v>
      </c>
      <c r="B348" s="162">
        <v>26.58</v>
      </c>
      <c r="C348" s="162">
        <v>24.9</v>
      </c>
    </row>
    <row r="349" spans="1:3" ht="117" x14ac:dyDescent="0.35">
      <c r="A349" s="159" t="s">
        <v>406</v>
      </c>
      <c r="B349" s="160">
        <v>594.09</v>
      </c>
      <c r="C349" s="160">
        <v>668.54</v>
      </c>
    </row>
    <row r="350" spans="1:3" ht="65" x14ac:dyDescent="0.35">
      <c r="A350" s="159" t="s">
        <v>407</v>
      </c>
      <c r="B350" s="160">
        <v>589.36</v>
      </c>
      <c r="C350" s="160">
        <v>658.54</v>
      </c>
    </row>
    <row r="351" spans="1:3" ht="26" x14ac:dyDescent="0.35">
      <c r="A351" s="159" t="s">
        <v>408</v>
      </c>
      <c r="B351" s="162">
        <v>46.89</v>
      </c>
      <c r="C351" s="162">
        <v>58.23</v>
      </c>
    </row>
    <row r="352" spans="1:3" ht="26" x14ac:dyDescent="0.35">
      <c r="A352" s="159" t="s">
        <v>280</v>
      </c>
      <c r="B352" s="160">
        <v>4378.4399999999996</v>
      </c>
      <c r="C352" s="160">
        <v>4895.8999999999996</v>
      </c>
    </row>
    <row r="353" spans="1:3" ht="143" x14ac:dyDescent="0.35">
      <c r="A353" s="159" t="s">
        <v>70</v>
      </c>
      <c r="B353" s="160">
        <v>1831.06</v>
      </c>
      <c r="C353" s="160">
        <v>2081.4899999999998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31"/>
  <sheetViews>
    <sheetView workbookViewId="0"/>
  </sheetViews>
  <sheetFormatPr defaultRowHeight="14.5" x14ac:dyDescent="0.35"/>
  <cols>
    <col min="1" max="1" width="45.6328125" customWidth="1"/>
    <col min="2" max="3" width="20.6328125" customWidth="1"/>
  </cols>
  <sheetData>
    <row r="1" spans="1:3" x14ac:dyDescent="0.35">
      <c r="A1" s="93" t="s">
        <v>94</v>
      </c>
      <c r="B1" s="94"/>
      <c r="C1" s="94"/>
    </row>
    <row r="2" spans="1:3" x14ac:dyDescent="0.35">
      <c r="A2" s="95" t="s">
        <v>95</v>
      </c>
      <c r="B2" s="96" t="s">
        <v>549</v>
      </c>
    </row>
    <row r="3" spans="1:3" x14ac:dyDescent="0.35">
      <c r="A3" s="95" t="s">
        <v>97</v>
      </c>
      <c r="B3" s="95" t="s">
        <v>98</v>
      </c>
    </row>
    <row r="4" spans="1:3" x14ac:dyDescent="0.35">
      <c r="A4" s="95" t="s">
        <v>99</v>
      </c>
      <c r="B4" s="95" t="s">
        <v>550</v>
      </c>
    </row>
    <row r="5" spans="1:3" x14ac:dyDescent="0.35">
      <c r="A5" s="95" t="s">
        <v>100</v>
      </c>
      <c r="B5" s="95" t="s">
        <v>488</v>
      </c>
    </row>
    <row r="6" spans="1:3" x14ac:dyDescent="0.35">
      <c r="A6" s="95" t="s">
        <v>101</v>
      </c>
      <c r="B6" s="95" t="s">
        <v>102</v>
      </c>
    </row>
    <row r="7" spans="1:3" x14ac:dyDescent="0.35">
      <c r="A7" s="95" t="s">
        <v>103</v>
      </c>
      <c r="B7" s="95" t="s">
        <v>104</v>
      </c>
    </row>
    <row r="8" spans="1:3" x14ac:dyDescent="0.35">
      <c r="A8" s="95" t="s">
        <v>105</v>
      </c>
      <c r="B8" s="95" t="s">
        <v>106</v>
      </c>
    </row>
    <row r="9" spans="1:3" x14ac:dyDescent="0.35">
      <c r="A9" s="95" t="s">
        <v>107</v>
      </c>
      <c r="B9" s="95" t="s">
        <v>108</v>
      </c>
    </row>
    <row r="10" spans="1:3" x14ac:dyDescent="0.35">
      <c r="A10" s="95" t="s">
        <v>109</v>
      </c>
      <c r="B10" s="97">
        <v>46296.619457384302</v>
      </c>
    </row>
    <row r="11" spans="1:3" x14ac:dyDescent="0.35">
      <c r="A11" s="98" t="s">
        <v>110</v>
      </c>
      <c r="B11" s="99" t="s">
        <v>111</v>
      </c>
      <c r="C11" s="99" t="s">
        <v>112</v>
      </c>
    </row>
    <row r="12" spans="1:3" x14ac:dyDescent="0.35">
      <c r="A12" s="100" t="s">
        <v>113</v>
      </c>
      <c r="B12" s="101">
        <v>45657</v>
      </c>
      <c r="C12" s="101">
        <v>46022</v>
      </c>
    </row>
    <row r="13" spans="1:3" x14ac:dyDescent="0.35">
      <c r="A13" s="100" t="s">
        <v>114</v>
      </c>
      <c r="B13" s="101" t="s">
        <v>115</v>
      </c>
      <c r="C13" s="101" t="s">
        <v>115</v>
      </c>
    </row>
    <row r="14" spans="1:3" x14ac:dyDescent="0.35">
      <c r="A14" s="102" t="s">
        <v>116</v>
      </c>
      <c r="B14" s="98"/>
      <c r="C14" s="98"/>
    </row>
    <row r="15" spans="1:3" x14ac:dyDescent="0.35">
      <c r="A15" s="102" t="s">
        <v>117</v>
      </c>
      <c r="B15" s="103" t="s">
        <v>118</v>
      </c>
      <c r="C15" s="103" t="s">
        <v>119</v>
      </c>
    </row>
    <row r="16" spans="1:3" x14ac:dyDescent="0.35">
      <c r="A16" s="104" t="s">
        <v>120</v>
      </c>
      <c r="B16" s="105"/>
      <c r="C16" s="105"/>
    </row>
    <row r="17" spans="1:3" x14ac:dyDescent="0.35">
      <c r="A17" s="106" t="s">
        <v>121</v>
      </c>
      <c r="B17" s="107">
        <v>538.79</v>
      </c>
      <c r="C17" s="107">
        <v>647.29</v>
      </c>
    </row>
    <row r="18" spans="1:3" x14ac:dyDescent="0.35">
      <c r="A18" s="108" t="s">
        <v>12</v>
      </c>
      <c r="B18" s="107">
        <v>538.79</v>
      </c>
      <c r="C18" s="107">
        <v>647.29</v>
      </c>
    </row>
    <row r="19" spans="1:3" x14ac:dyDescent="0.35">
      <c r="A19" s="108" t="s">
        <v>14</v>
      </c>
      <c r="B19" s="109">
        <v>0</v>
      </c>
      <c r="C19" s="109">
        <v>0</v>
      </c>
    </row>
    <row r="20" spans="1:3" x14ac:dyDescent="0.35">
      <c r="A20" s="106" t="s">
        <v>122</v>
      </c>
      <c r="B20" s="107">
        <v>2595.9499999999998</v>
      </c>
      <c r="C20" s="107">
        <v>2749.06</v>
      </c>
    </row>
    <row r="21" spans="1:3" x14ac:dyDescent="0.35">
      <c r="A21" s="108" t="s">
        <v>16</v>
      </c>
      <c r="B21" s="107">
        <v>1392.76</v>
      </c>
      <c r="C21" s="107">
        <v>1474.9</v>
      </c>
    </row>
    <row r="22" spans="1:3" x14ac:dyDescent="0.35">
      <c r="A22" s="108" t="s">
        <v>123</v>
      </c>
      <c r="B22" s="107">
        <v>1428.43</v>
      </c>
      <c r="C22" s="107">
        <v>1517.22</v>
      </c>
    </row>
    <row r="23" spans="1:3" x14ac:dyDescent="0.35">
      <c r="A23" s="108" t="s">
        <v>124</v>
      </c>
      <c r="B23" s="110">
        <v>35.659999999999997</v>
      </c>
      <c r="C23" s="110">
        <v>42.32</v>
      </c>
    </row>
    <row r="24" spans="1:3" x14ac:dyDescent="0.35">
      <c r="A24" s="108" t="s">
        <v>454</v>
      </c>
      <c r="B24" s="110">
        <v>83.52</v>
      </c>
      <c r="C24" s="110">
        <v>60.82</v>
      </c>
    </row>
    <row r="25" spans="1:3" x14ac:dyDescent="0.35">
      <c r="A25" s="108" t="s">
        <v>455</v>
      </c>
      <c r="B25" s="107">
        <v>1119.6600000000001</v>
      </c>
      <c r="C25" s="107">
        <v>1213.3399999999999</v>
      </c>
    </row>
    <row r="26" spans="1:3" x14ac:dyDescent="0.35">
      <c r="A26" s="106" t="s">
        <v>127</v>
      </c>
      <c r="B26" s="107">
        <v>140.44</v>
      </c>
      <c r="C26" s="107">
        <v>105.32</v>
      </c>
    </row>
    <row r="27" spans="1:3" x14ac:dyDescent="0.35">
      <c r="A27" s="111" t="s">
        <v>22</v>
      </c>
      <c r="B27" s="116">
        <v>3275.17</v>
      </c>
      <c r="C27" s="116">
        <v>3501.68</v>
      </c>
    </row>
    <row r="28" spans="1:3" x14ac:dyDescent="0.35">
      <c r="A28" s="104" t="s">
        <v>128</v>
      </c>
      <c r="B28" s="105"/>
      <c r="C28" s="105"/>
    </row>
    <row r="29" spans="1:3" ht="26" x14ac:dyDescent="0.35">
      <c r="A29" s="106" t="s">
        <v>130</v>
      </c>
      <c r="B29" s="110">
        <v>57.95</v>
      </c>
      <c r="C29" s="110">
        <v>82.05</v>
      </c>
    </row>
    <row r="30" spans="1:3" x14ac:dyDescent="0.35">
      <c r="A30" s="106" t="s">
        <v>131</v>
      </c>
      <c r="B30" s="110">
        <v>84.19</v>
      </c>
      <c r="C30" s="110">
        <v>75.709999999999994</v>
      </c>
    </row>
    <row r="31" spans="1:3" x14ac:dyDescent="0.35">
      <c r="A31" s="108" t="s">
        <v>457</v>
      </c>
      <c r="B31" s="110">
        <v>84.19</v>
      </c>
      <c r="C31" s="110">
        <v>75.709999999999994</v>
      </c>
    </row>
    <row r="32" spans="1:3" x14ac:dyDescent="0.35">
      <c r="A32" s="106" t="s">
        <v>27</v>
      </c>
      <c r="B32" s="107">
        <v>530.48</v>
      </c>
      <c r="C32" s="107">
        <v>524.66999999999996</v>
      </c>
    </row>
    <row r="33" spans="1:3" ht="26" x14ac:dyDescent="0.35">
      <c r="A33" s="108" t="s">
        <v>133</v>
      </c>
      <c r="B33" s="107">
        <v>530.48</v>
      </c>
      <c r="C33" s="107">
        <v>524.66999999999996</v>
      </c>
    </row>
    <row r="34" spans="1:3" x14ac:dyDescent="0.35">
      <c r="A34" s="108" t="s">
        <v>134</v>
      </c>
      <c r="B34" s="107">
        <v>1076.5</v>
      </c>
      <c r="C34" s="107">
        <v>1228.1400000000001</v>
      </c>
    </row>
    <row r="35" spans="1:3" ht="26" x14ac:dyDescent="0.35">
      <c r="A35" s="108" t="s">
        <v>135</v>
      </c>
      <c r="B35" s="107">
        <v>1076.5</v>
      </c>
      <c r="C35" s="107">
        <v>1228.1400000000001</v>
      </c>
    </row>
    <row r="36" spans="1:3" x14ac:dyDescent="0.35">
      <c r="A36" s="108" t="s">
        <v>458</v>
      </c>
      <c r="B36" s="107">
        <v>131.88999999999999</v>
      </c>
      <c r="C36" s="107">
        <v>159.27000000000001</v>
      </c>
    </row>
    <row r="37" spans="1:3" x14ac:dyDescent="0.35">
      <c r="A37" s="108" t="s">
        <v>459</v>
      </c>
      <c r="B37" s="110">
        <v>3.72</v>
      </c>
      <c r="C37" s="110">
        <v>3.72</v>
      </c>
    </row>
    <row r="38" spans="1:3" x14ac:dyDescent="0.35">
      <c r="A38" s="108" t="s">
        <v>460</v>
      </c>
      <c r="B38" s="110">
        <v>66.13</v>
      </c>
      <c r="C38" s="110">
        <v>83.27</v>
      </c>
    </row>
    <row r="39" spans="1:3" x14ac:dyDescent="0.35">
      <c r="A39" s="108" t="s">
        <v>507</v>
      </c>
      <c r="B39" s="110">
        <v>62.03</v>
      </c>
      <c r="C39" s="110">
        <v>72.28</v>
      </c>
    </row>
    <row r="40" spans="1:3" x14ac:dyDescent="0.35">
      <c r="A40" s="108" t="s">
        <v>447</v>
      </c>
      <c r="B40" s="107">
        <v>745.16</v>
      </c>
      <c r="C40" s="107">
        <v>879.31</v>
      </c>
    </row>
    <row r="41" spans="1:3" x14ac:dyDescent="0.35">
      <c r="A41" s="108" t="s">
        <v>461</v>
      </c>
      <c r="B41" s="110">
        <v>7.0000000000000007E-2</v>
      </c>
      <c r="C41" s="110">
        <v>0.08</v>
      </c>
    </row>
    <row r="42" spans="1:3" x14ac:dyDescent="0.35">
      <c r="A42" s="108" t="s">
        <v>543</v>
      </c>
      <c r="B42" s="107">
        <v>689.98</v>
      </c>
      <c r="C42" s="107">
        <v>817.58</v>
      </c>
    </row>
    <row r="43" spans="1:3" x14ac:dyDescent="0.35">
      <c r="A43" s="108" t="s">
        <v>136</v>
      </c>
      <c r="B43" s="107">
        <v>147.6</v>
      </c>
      <c r="C43" s="107">
        <v>128.94999999999999</v>
      </c>
    </row>
    <row r="44" spans="1:3" x14ac:dyDescent="0.35">
      <c r="A44" s="108" t="s">
        <v>137</v>
      </c>
      <c r="B44" s="107">
        <v>147.6</v>
      </c>
      <c r="C44" s="107">
        <v>128.94999999999999</v>
      </c>
    </row>
    <row r="45" spans="1:3" x14ac:dyDescent="0.35">
      <c r="A45" s="108" t="s">
        <v>138</v>
      </c>
      <c r="B45" s="110">
        <v>51.85</v>
      </c>
      <c r="C45" s="110">
        <v>60.62</v>
      </c>
    </row>
    <row r="46" spans="1:3" ht="26" x14ac:dyDescent="0.35">
      <c r="A46" s="108" t="s">
        <v>139</v>
      </c>
      <c r="B46" s="107">
        <v>546.02</v>
      </c>
      <c r="C46" s="107">
        <v>703.47</v>
      </c>
    </row>
    <row r="47" spans="1:3" ht="26" x14ac:dyDescent="0.35">
      <c r="A47" s="108" t="s">
        <v>140</v>
      </c>
      <c r="B47" s="107">
        <v>546.02</v>
      </c>
      <c r="C47" s="107">
        <v>703.47</v>
      </c>
    </row>
    <row r="48" spans="1:3" x14ac:dyDescent="0.35">
      <c r="A48" s="106" t="s">
        <v>141</v>
      </c>
      <c r="B48" s="110">
        <v>75.83</v>
      </c>
      <c r="C48" s="107">
        <v>106.87</v>
      </c>
    </row>
    <row r="49" spans="1:3" x14ac:dyDescent="0.35">
      <c r="A49" s="108" t="s">
        <v>419</v>
      </c>
      <c r="B49" s="110">
        <v>75.83</v>
      </c>
      <c r="C49" s="107">
        <v>106.87</v>
      </c>
    </row>
    <row r="50" spans="1:3" x14ac:dyDescent="0.35">
      <c r="A50" s="106" t="s">
        <v>29</v>
      </c>
      <c r="B50" s="109">
        <v>12611.2</v>
      </c>
      <c r="C50" s="109">
        <v>11978.81</v>
      </c>
    </row>
    <row r="51" spans="1:3" x14ac:dyDescent="0.35">
      <c r="A51" s="108" t="s">
        <v>421</v>
      </c>
      <c r="B51" s="107">
        <v>9051.41</v>
      </c>
      <c r="C51" s="107">
        <v>8731.69</v>
      </c>
    </row>
    <row r="52" spans="1:3" x14ac:dyDescent="0.35">
      <c r="A52" s="108" t="s">
        <v>464</v>
      </c>
      <c r="B52" s="107">
        <v>3559.79</v>
      </c>
      <c r="C52" s="107">
        <v>3247.12</v>
      </c>
    </row>
    <row r="53" spans="1:3" x14ac:dyDescent="0.35">
      <c r="A53" s="111" t="s">
        <v>33</v>
      </c>
      <c r="B53" s="112">
        <v>13359.65</v>
      </c>
      <c r="C53" s="112">
        <v>12768.11</v>
      </c>
    </row>
    <row r="54" spans="1:3" x14ac:dyDescent="0.35">
      <c r="A54" s="104" t="s">
        <v>35</v>
      </c>
      <c r="B54" s="105"/>
      <c r="C54" s="105"/>
    </row>
    <row r="55" spans="1:3" x14ac:dyDescent="0.35">
      <c r="A55" s="111" t="s">
        <v>35</v>
      </c>
      <c r="B55" s="112">
        <v>16634.82</v>
      </c>
      <c r="C55" s="112">
        <v>16269.78</v>
      </c>
    </row>
    <row r="56" spans="1:3" x14ac:dyDescent="0.35">
      <c r="A56" s="104" t="s">
        <v>143</v>
      </c>
      <c r="B56" s="105"/>
      <c r="C56" s="105"/>
    </row>
    <row r="57" spans="1:3" x14ac:dyDescent="0.35">
      <c r="A57" s="106" t="s">
        <v>144</v>
      </c>
      <c r="B57" s="107">
        <v>391.6</v>
      </c>
      <c r="C57" s="107">
        <v>432.34</v>
      </c>
    </row>
    <row r="58" spans="1:3" x14ac:dyDescent="0.35">
      <c r="A58" s="108" t="s">
        <v>37</v>
      </c>
      <c r="B58" s="107">
        <v>173.03</v>
      </c>
      <c r="C58" s="107">
        <v>192.12</v>
      </c>
    </row>
    <row r="59" spans="1:3" x14ac:dyDescent="0.35">
      <c r="A59" s="108" t="s">
        <v>145</v>
      </c>
      <c r="B59" s="107">
        <v>218.57</v>
      </c>
      <c r="C59" s="107">
        <v>240.22</v>
      </c>
    </row>
    <row r="60" spans="1:3" x14ac:dyDescent="0.35">
      <c r="A60" s="106" t="s">
        <v>39</v>
      </c>
      <c r="B60" s="110">
        <v>29.76</v>
      </c>
      <c r="C60" s="107">
        <v>529.76</v>
      </c>
    </row>
    <row r="61" spans="1:3" ht="26" x14ac:dyDescent="0.35">
      <c r="A61" s="108" t="s">
        <v>146</v>
      </c>
      <c r="B61" s="110">
        <v>29.76</v>
      </c>
      <c r="C61" s="107">
        <v>529.76</v>
      </c>
    </row>
    <row r="62" spans="1:3" ht="26" x14ac:dyDescent="0.35">
      <c r="A62" s="108" t="s">
        <v>147</v>
      </c>
      <c r="B62" s="110">
        <v>29.76</v>
      </c>
      <c r="C62" s="107">
        <v>529.76</v>
      </c>
    </row>
    <row r="63" spans="1:3" x14ac:dyDescent="0.35">
      <c r="A63" s="106" t="s">
        <v>149</v>
      </c>
      <c r="B63" s="110">
        <v>55.26</v>
      </c>
      <c r="C63" s="110">
        <v>19</v>
      </c>
    </row>
    <row r="64" spans="1:3" x14ac:dyDescent="0.35">
      <c r="A64" s="106" t="s">
        <v>150</v>
      </c>
      <c r="B64" s="110">
        <v>36.78</v>
      </c>
      <c r="C64" s="110">
        <v>36.28</v>
      </c>
    </row>
    <row r="65" spans="1:3" x14ac:dyDescent="0.35">
      <c r="A65" s="106" t="s">
        <v>423</v>
      </c>
      <c r="B65" s="107">
        <v>2122.09</v>
      </c>
      <c r="C65" s="107">
        <v>2178.79</v>
      </c>
    </row>
    <row r="66" spans="1:3" x14ac:dyDescent="0.35">
      <c r="A66" s="108" t="s">
        <v>465</v>
      </c>
      <c r="B66" s="107">
        <v>1467.67</v>
      </c>
      <c r="C66" s="107">
        <v>1550.47</v>
      </c>
    </row>
    <row r="67" spans="1:3" x14ac:dyDescent="0.35">
      <c r="A67" s="108" t="s">
        <v>41</v>
      </c>
      <c r="B67" s="107">
        <v>654.41999999999996</v>
      </c>
      <c r="C67" s="107">
        <v>628.32000000000005</v>
      </c>
    </row>
    <row r="68" spans="1:3" x14ac:dyDescent="0.35">
      <c r="A68" s="111" t="s">
        <v>43</v>
      </c>
      <c r="B68" s="116">
        <v>2635.49</v>
      </c>
      <c r="C68" s="116">
        <v>3196.18</v>
      </c>
    </row>
    <row r="69" spans="1:3" x14ac:dyDescent="0.35">
      <c r="A69" s="104" t="s">
        <v>151</v>
      </c>
      <c r="B69" s="105"/>
      <c r="C69" s="105"/>
    </row>
    <row r="70" spans="1:3" x14ac:dyDescent="0.35">
      <c r="A70" s="106" t="s">
        <v>45</v>
      </c>
      <c r="B70" s="107">
        <v>3396.4</v>
      </c>
      <c r="C70" s="107">
        <v>2872.62</v>
      </c>
    </row>
    <row r="71" spans="1:3" x14ac:dyDescent="0.35">
      <c r="A71" s="108" t="s">
        <v>152</v>
      </c>
      <c r="B71" s="107">
        <v>3396.4</v>
      </c>
      <c r="C71" s="107">
        <v>2872.62</v>
      </c>
    </row>
    <row r="72" spans="1:3" x14ac:dyDescent="0.35">
      <c r="A72" s="108" t="s">
        <v>153</v>
      </c>
      <c r="B72" s="107">
        <v>3396.4</v>
      </c>
      <c r="C72" s="107">
        <v>2872.62</v>
      </c>
    </row>
    <row r="73" spans="1:3" x14ac:dyDescent="0.35">
      <c r="A73" s="106" t="s">
        <v>155</v>
      </c>
      <c r="B73" s="107">
        <v>811.23</v>
      </c>
      <c r="C73" s="107">
        <v>714.43</v>
      </c>
    </row>
    <row r="74" spans="1:3" x14ac:dyDescent="0.35">
      <c r="A74" s="108" t="s">
        <v>156</v>
      </c>
      <c r="B74" s="107">
        <v>811.23</v>
      </c>
      <c r="C74" s="107">
        <v>714.43</v>
      </c>
    </row>
    <row r="75" spans="1:3" x14ac:dyDescent="0.35">
      <c r="A75" s="106" t="s">
        <v>157</v>
      </c>
      <c r="B75" s="107">
        <v>140.09</v>
      </c>
      <c r="C75" s="107">
        <v>117.12</v>
      </c>
    </row>
    <row r="76" spans="1:3" x14ac:dyDescent="0.35">
      <c r="A76" s="106" t="s">
        <v>158</v>
      </c>
      <c r="B76" s="107">
        <v>210.26</v>
      </c>
      <c r="C76" s="107">
        <v>176.06</v>
      </c>
    </row>
    <row r="77" spans="1:3" x14ac:dyDescent="0.35">
      <c r="A77" s="108" t="s">
        <v>47</v>
      </c>
      <c r="B77" s="107">
        <v>210.26</v>
      </c>
      <c r="C77" s="107">
        <v>176.06</v>
      </c>
    </row>
    <row r="78" spans="1:3" x14ac:dyDescent="0.35">
      <c r="A78" s="106" t="s">
        <v>49</v>
      </c>
      <c r="B78" s="107">
        <v>4557.9799999999996</v>
      </c>
      <c r="C78" s="107">
        <v>3880.22</v>
      </c>
    </row>
    <row r="79" spans="1:3" x14ac:dyDescent="0.35">
      <c r="A79" s="104" t="s">
        <v>51</v>
      </c>
      <c r="B79" s="105"/>
      <c r="C79" s="105"/>
    </row>
    <row r="80" spans="1:3" x14ac:dyDescent="0.35">
      <c r="A80" s="111" t="s">
        <v>51</v>
      </c>
      <c r="B80" s="116">
        <v>7193.47</v>
      </c>
      <c r="C80" s="116">
        <v>7076.4</v>
      </c>
    </row>
    <row r="81" spans="1:3" x14ac:dyDescent="0.35">
      <c r="A81" s="104" t="s">
        <v>162</v>
      </c>
      <c r="B81" s="105"/>
      <c r="C81" s="105"/>
    </row>
    <row r="82" spans="1:3" ht="26" x14ac:dyDescent="0.35">
      <c r="A82" s="106" t="s">
        <v>163</v>
      </c>
      <c r="B82" s="107">
        <v>9441.35</v>
      </c>
      <c r="C82" s="107">
        <v>9193.3799999999992</v>
      </c>
    </row>
    <row r="83" spans="1:3" x14ac:dyDescent="0.35">
      <c r="A83" s="108" t="s">
        <v>164</v>
      </c>
      <c r="B83" s="107">
        <v>9441.35</v>
      </c>
      <c r="C83" s="107">
        <v>9193.3799999999992</v>
      </c>
    </row>
    <row r="84" spans="1:3" x14ac:dyDescent="0.35">
      <c r="A84" s="108" t="s">
        <v>166</v>
      </c>
      <c r="B84" s="107">
        <v>7026.82</v>
      </c>
      <c r="C84" s="107">
        <v>7138.26</v>
      </c>
    </row>
    <row r="85" spans="1:3" x14ac:dyDescent="0.35">
      <c r="A85" s="108" t="s">
        <v>167</v>
      </c>
      <c r="B85" s="110">
        <v>6.59</v>
      </c>
      <c r="C85" s="110">
        <v>6.31</v>
      </c>
    </row>
    <row r="86" spans="1:3" ht="26" x14ac:dyDescent="0.35">
      <c r="A86" s="108" t="s">
        <v>168</v>
      </c>
      <c r="B86" s="107">
        <v>7020.23</v>
      </c>
      <c r="C86" s="107">
        <v>7131.96</v>
      </c>
    </row>
    <row r="87" spans="1:3" x14ac:dyDescent="0.35">
      <c r="A87" s="108" t="s">
        <v>169</v>
      </c>
      <c r="B87" s="107">
        <v>2414.54</v>
      </c>
      <c r="C87" s="107">
        <v>2055.12</v>
      </c>
    </row>
    <row r="88" spans="1:3" x14ac:dyDescent="0.35">
      <c r="A88" s="108" t="s">
        <v>170</v>
      </c>
      <c r="B88" s="107">
        <v>2644.47</v>
      </c>
      <c r="C88" s="107">
        <v>2123.66</v>
      </c>
    </row>
    <row r="89" spans="1:3" x14ac:dyDescent="0.35">
      <c r="A89" s="108" t="s">
        <v>171</v>
      </c>
      <c r="B89" s="113">
        <v>-229.93</v>
      </c>
      <c r="C89" s="114">
        <v>-68.53</v>
      </c>
    </row>
    <row r="90" spans="1:3" x14ac:dyDescent="0.35">
      <c r="A90" s="108" t="s">
        <v>173</v>
      </c>
      <c r="B90" s="110">
        <v>2.42</v>
      </c>
      <c r="C90" s="109">
        <v>0</v>
      </c>
    </row>
    <row r="91" spans="1:3" x14ac:dyDescent="0.35">
      <c r="A91" s="108" t="s">
        <v>174</v>
      </c>
      <c r="B91" s="113">
        <v>-234.07</v>
      </c>
      <c r="C91" s="114">
        <v>-74.62</v>
      </c>
    </row>
    <row r="92" spans="1:3" x14ac:dyDescent="0.35">
      <c r="A92" s="108" t="s">
        <v>175</v>
      </c>
      <c r="B92" s="110">
        <v>1.73</v>
      </c>
      <c r="C92" s="110">
        <v>6.09</v>
      </c>
    </row>
    <row r="93" spans="1:3" x14ac:dyDescent="0.35">
      <c r="A93" s="108" t="s">
        <v>53</v>
      </c>
      <c r="B93" s="107">
        <v>9441.35</v>
      </c>
      <c r="C93" s="107">
        <v>9193.3799999999992</v>
      </c>
    </row>
    <row r="94" spans="1:3" x14ac:dyDescent="0.35">
      <c r="A94" s="104" t="s">
        <v>176</v>
      </c>
      <c r="B94" s="105"/>
      <c r="C94" s="105"/>
    </row>
    <row r="95" spans="1:3" ht="26" x14ac:dyDescent="0.35">
      <c r="A95" s="111" t="s">
        <v>57</v>
      </c>
      <c r="B95" s="116">
        <v>9441.35</v>
      </c>
      <c r="C95" s="116">
        <v>9193.3799999999992</v>
      </c>
    </row>
    <row r="96" spans="1:3" x14ac:dyDescent="0.35">
      <c r="A96" s="104" t="s">
        <v>177</v>
      </c>
      <c r="B96" s="105"/>
      <c r="C96" s="105"/>
    </row>
    <row r="97" spans="1:3" x14ac:dyDescent="0.35">
      <c r="A97" s="111" t="s">
        <v>60</v>
      </c>
      <c r="B97" s="112">
        <v>16634.82</v>
      </c>
      <c r="C97" s="112">
        <v>16269.78</v>
      </c>
    </row>
    <row r="98" spans="1:3" x14ac:dyDescent="0.35">
      <c r="A98" s="104" t="s">
        <v>178</v>
      </c>
      <c r="B98" s="105"/>
      <c r="C98" s="105"/>
    </row>
    <row r="99" spans="1:3" x14ac:dyDescent="0.35">
      <c r="A99" s="106" t="s">
        <v>179</v>
      </c>
      <c r="B99" s="110">
        <v>80.760000000000005</v>
      </c>
      <c r="C99" s="110">
        <v>76.569999999999993</v>
      </c>
    </row>
    <row r="100" spans="1:3" x14ac:dyDescent="0.35">
      <c r="A100" s="108" t="s">
        <v>180</v>
      </c>
      <c r="B100" s="110">
        <v>80.760000000000005</v>
      </c>
      <c r="C100" s="110">
        <v>76.569999999999993</v>
      </c>
    </row>
    <row r="101" spans="1:3" x14ac:dyDescent="0.35">
      <c r="A101" s="108" t="s">
        <v>181</v>
      </c>
      <c r="B101" s="109">
        <v>0</v>
      </c>
      <c r="C101" s="109">
        <v>0</v>
      </c>
    </row>
    <row r="102" spans="1:3" x14ac:dyDescent="0.35">
      <c r="A102" s="106" t="s">
        <v>182</v>
      </c>
      <c r="B102" s="107">
        <v>100</v>
      </c>
      <c r="C102" s="107">
        <v>100</v>
      </c>
    </row>
    <row r="103" spans="1:3" x14ac:dyDescent="0.35">
      <c r="A103" s="106" t="s">
        <v>183</v>
      </c>
      <c r="B103" s="110">
        <v>80.760000000000005</v>
      </c>
      <c r="C103" s="110">
        <v>76.569999999999993</v>
      </c>
    </row>
    <row r="104" spans="1:3" x14ac:dyDescent="0.35">
      <c r="A104" s="108" t="s">
        <v>184</v>
      </c>
      <c r="B104" s="110">
        <v>80.760000000000005</v>
      </c>
      <c r="C104" s="110">
        <v>76.569999999999993</v>
      </c>
    </row>
    <row r="105" spans="1:3" x14ac:dyDescent="0.35">
      <c r="A105" s="108" t="s">
        <v>185</v>
      </c>
      <c r="B105" s="109">
        <v>0</v>
      </c>
      <c r="C105" s="109">
        <v>0</v>
      </c>
    </row>
    <row r="106" spans="1:3" x14ac:dyDescent="0.35">
      <c r="A106" s="104" t="s">
        <v>186</v>
      </c>
      <c r="B106" s="105"/>
      <c r="C106" s="105"/>
    </row>
    <row r="107" spans="1:3" x14ac:dyDescent="0.35">
      <c r="A107" s="106" t="s">
        <v>187</v>
      </c>
      <c r="B107" s="110">
        <v>1</v>
      </c>
      <c r="C107" s="110">
        <v>1</v>
      </c>
    </row>
    <row r="108" spans="1:3" x14ac:dyDescent="0.35">
      <c r="A108" s="104" t="s">
        <v>188</v>
      </c>
      <c r="B108" s="105"/>
      <c r="C108" s="105"/>
    </row>
    <row r="109" spans="1:3" x14ac:dyDescent="0.35">
      <c r="A109" s="106" t="s">
        <v>189</v>
      </c>
      <c r="B109" s="107">
        <v>147.6</v>
      </c>
      <c r="C109" s="107">
        <v>128.94999999999999</v>
      </c>
    </row>
    <row r="110" spans="1:3" ht="26" x14ac:dyDescent="0.35">
      <c r="A110" s="108" t="s">
        <v>190</v>
      </c>
      <c r="B110" s="107">
        <v>147.6</v>
      </c>
      <c r="C110" s="107">
        <v>128.94999999999999</v>
      </c>
    </row>
    <row r="111" spans="1:3" ht="26" x14ac:dyDescent="0.35">
      <c r="A111" s="106" t="s">
        <v>192</v>
      </c>
      <c r="B111" s="107">
        <v>382.88</v>
      </c>
      <c r="C111" s="107">
        <v>395.72</v>
      </c>
    </row>
    <row r="112" spans="1:3" x14ac:dyDescent="0.35">
      <c r="A112" s="104" t="s">
        <v>193</v>
      </c>
      <c r="B112" s="105"/>
      <c r="C112" s="105"/>
    </row>
    <row r="113" spans="1:3" x14ac:dyDescent="0.35">
      <c r="A113" s="106" t="s">
        <v>194</v>
      </c>
      <c r="B113" s="107">
        <v>176.87</v>
      </c>
      <c r="C113" s="107">
        <v>153.4</v>
      </c>
    </row>
    <row r="114" spans="1:3" ht="26" x14ac:dyDescent="0.35">
      <c r="A114" s="108" t="s">
        <v>195</v>
      </c>
      <c r="B114" s="110">
        <v>36.78</v>
      </c>
      <c r="C114" s="110">
        <v>36.28</v>
      </c>
    </row>
    <row r="115" spans="1:3" x14ac:dyDescent="0.35">
      <c r="A115" s="108" t="s">
        <v>196</v>
      </c>
      <c r="B115" s="107">
        <v>140.09</v>
      </c>
      <c r="C115" s="107">
        <v>117.12</v>
      </c>
    </row>
    <row r="116" spans="1:3" x14ac:dyDescent="0.35">
      <c r="A116" s="106" t="s">
        <v>197</v>
      </c>
      <c r="B116" s="107">
        <v>176.87</v>
      </c>
      <c r="C116" s="107">
        <v>153.4</v>
      </c>
    </row>
    <row r="117" spans="1:3" x14ac:dyDescent="0.35">
      <c r="A117" s="106" t="s">
        <v>198</v>
      </c>
      <c r="B117" s="107">
        <v>3603.03</v>
      </c>
      <c r="C117" s="107">
        <v>3555.78</v>
      </c>
    </row>
    <row r="118" spans="1:3" x14ac:dyDescent="0.35">
      <c r="A118" s="104" t="s">
        <v>199</v>
      </c>
      <c r="B118" s="105"/>
      <c r="C118" s="105"/>
    </row>
    <row r="119" spans="1:3" x14ac:dyDescent="0.35">
      <c r="A119" s="106" t="s">
        <v>200</v>
      </c>
      <c r="B119" s="109">
        <v>0</v>
      </c>
      <c r="C119" s="109">
        <v>0</v>
      </c>
    </row>
    <row r="120" spans="1:3" x14ac:dyDescent="0.35">
      <c r="A120" s="106" t="s">
        <v>201</v>
      </c>
      <c r="B120" s="107">
        <v>2680.14</v>
      </c>
      <c r="C120" s="107">
        <v>2824.77</v>
      </c>
    </row>
    <row r="121" spans="1:3" x14ac:dyDescent="0.35">
      <c r="A121" s="108" t="s">
        <v>202</v>
      </c>
      <c r="B121" s="107">
        <v>1428.43</v>
      </c>
      <c r="C121" s="107">
        <v>1517.22</v>
      </c>
    </row>
    <row r="122" spans="1:3" x14ac:dyDescent="0.35">
      <c r="A122" s="106" t="s">
        <v>203</v>
      </c>
      <c r="B122" s="110">
        <v>75.83</v>
      </c>
      <c r="C122" s="107">
        <v>106.87</v>
      </c>
    </row>
    <row r="123" spans="1:3" x14ac:dyDescent="0.35">
      <c r="A123" s="106" t="s">
        <v>204</v>
      </c>
      <c r="B123" s="110">
        <v>55.26</v>
      </c>
      <c r="C123" s="110">
        <v>19</v>
      </c>
    </row>
    <row r="124" spans="1:3" x14ac:dyDescent="0.35">
      <c r="A124" s="106" t="s">
        <v>205</v>
      </c>
      <c r="B124" s="107">
        <v>391.6</v>
      </c>
      <c r="C124" s="107">
        <v>432.34</v>
      </c>
    </row>
    <row r="125" spans="1:3" x14ac:dyDescent="0.35">
      <c r="A125" s="108" t="s">
        <v>206</v>
      </c>
      <c r="B125" s="107">
        <v>173.03</v>
      </c>
      <c r="C125" s="107">
        <v>192.12</v>
      </c>
    </row>
    <row r="126" spans="1:3" x14ac:dyDescent="0.35">
      <c r="A126" s="108" t="s">
        <v>207</v>
      </c>
      <c r="B126" s="107">
        <v>218.57</v>
      </c>
      <c r="C126" s="107">
        <v>240.22</v>
      </c>
    </row>
    <row r="127" spans="1:3" ht="26" x14ac:dyDescent="0.35">
      <c r="A127" s="106" t="s">
        <v>470</v>
      </c>
      <c r="B127" s="107">
        <v>1040.17</v>
      </c>
      <c r="C127" s="107">
        <v>1096.5899999999999</v>
      </c>
    </row>
    <row r="128" spans="1:3" x14ac:dyDescent="0.35">
      <c r="A128" s="104" t="s">
        <v>208</v>
      </c>
      <c r="B128" s="105"/>
      <c r="C128" s="105"/>
    </row>
    <row r="129" spans="1:3" x14ac:dyDescent="0.35">
      <c r="A129" s="106" t="s">
        <v>209</v>
      </c>
      <c r="B129" s="107">
        <v>2887.38</v>
      </c>
      <c r="C129" s="107">
        <v>2755.08</v>
      </c>
    </row>
    <row r="130" spans="1:3" x14ac:dyDescent="0.35">
      <c r="A130" s="106" t="s">
        <v>210</v>
      </c>
      <c r="B130" s="107">
        <v>3426.16</v>
      </c>
      <c r="C130" s="107">
        <v>3402.38</v>
      </c>
    </row>
    <row r="131" spans="1:3" x14ac:dyDescent="0.35">
      <c r="A131" s="106" t="s">
        <v>211</v>
      </c>
      <c r="B131" s="109">
        <v>0</v>
      </c>
      <c r="C131" s="109">
        <v>0</v>
      </c>
    </row>
    <row r="132" spans="1:3" x14ac:dyDescent="0.35">
      <c r="A132" s="106" t="s">
        <v>213</v>
      </c>
      <c r="B132" s="107">
        <v>500</v>
      </c>
      <c r="C132" s="107">
        <v>500</v>
      </c>
    </row>
    <row r="133" spans="1:3" x14ac:dyDescent="0.35">
      <c r="A133" s="104" t="s">
        <v>214</v>
      </c>
      <c r="B133" s="105"/>
      <c r="C133" s="105"/>
    </row>
    <row r="134" spans="1:3" x14ac:dyDescent="0.35">
      <c r="A134" s="106" t="s">
        <v>215</v>
      </c>
      <c r="B134" s="109"/>
      <c r="C134" s="107">
        <v>3416.69</v>
      </c>
    </row>
    <row r="135" spans="1:3" x14ac:dyDescent="0.35">
      <c r="A135" s="108" t="s">
        <v>216</v>
      </c>
      <c r="B135" s="109"/>
      <c r="C135" s="107">
        <v>529.76</v>
      </c>
    </row>
    <row r="136" spans="1:3" x14ac:dyDescent="0.35">
      <c r="A136" s="108" t="s">
        <v>217</v>
      </c>
      <c r="B136" s="109"/>
      <c r="C136" s="107">
        <v>779.76</v>
      </c>
    </row>
    <row r="137" spans="1:3" x14ac:dyDescent="0.35">
      <c r="A137" s="108" t="s">
        <v>218</v>
      </c>
      <c r="B137" s="109"/>
      <c r="C137" s="107">
        <v>857.16</v>
      </c>
    </row>
    <row r="138" spans="1:3" x14ac:dyDescent="0.35">
      <c r="A138" s="108" t="s">
        <v>219</v>
      </c>
      <c r="B138" s="109"/>
      <c r="C138" s="107">
        <v>750</v>
      </c>
    </row>
    <row r="139" spans="1:3" x14ac:dyDescent="0.35">
      <c r="A139" s="108" t="s">
        <v>220</v>
      </c>
      <c r="B139" s="109"/>
      <c r="C139" s="107">
        <v>500</v>
      </c>
    </row>
    <row r="140" spans="1:3" x14ac:dyDescent="0.35">
      <c r="A140" s="106" t="s">
        <v>221</v>
      </c>
      <c r="B140" s="109"/>
      <c r="C140" s="107">
        <v>1636.93</v>
      </c>
    </row>
    <row r="141" spans="1:3" x14ac:dyDescent="0.35">
      <c r="A141" s="106" t="s">
        <v>222</v>
      </c>
      <c r="B141" s="109"/>
      <c r="C141" s="107">
        <v>1250</v>
      </c>
    </row>
    <row r="142" spans="1:3" x14ac:dyDescent="0.35">
      <c r="A142" s="104" t="s">
        <v>235</v>
      </c>
      <c r="B142" s="105"/>
      <c r="C142" s="105"/>
    </row>
    <row r="143" spans="1:3" ht="26" x14ac:dyDescent="0.35">
      <c r="A143" s="106" t="s">
        <v>236</v>
      </c>
      <c r="B143" s="110">
        <v>6.56</v>
      </c>
      <c r="C143" s="110">
        <v>5.96</v>
      </c>
    </row>
    <row r="144" spans="1:3" ht="26" x14ac:dyDescent="0.35">
      <c r="A144" s="106" t="s">
        <v>238</v>
      </c>
      <c r="B144" s="115">
        <v>0</v>
      </c>
      <c r="C144" s="115">
        <v>0</v>
      </c>
    </row>
    <row r="145" spans="1:3" x14ac:dyDescent="0.35">
      <c r="A145" s="104" t="s">
        <v>82</v>
      </c>
      <c r="B145" s="105"/>
      <c r="C145" s="105"/>
    </row>
    <row r="146" spans="1:3" ht="26" x14ac:dyDescent="0.35">
      <c r="A146" s="106" t="s">
        <v>471</v>
      </c>
      <c r="B146" s="107">
        <v>1467.67</v>
      </c>
      <c r="C146" s="107">
        <v>1550.47</v>
      </c>
    </row>
    <row r="147" spans="1:3" x14ac:dyDescent="0.35">
      <c r="A147" s="106" t="s">
        <v>240</v>
      </c>
      <c r="B147" s="107">
        <v>100.89</v>
      </c>
      <c r="C147" s="113">
        <v>-341.79</v>
      </c>
    </row>
    <row r="148" spans="1:3" x14ac:dyDescent="0.35">
      <c r="A148" s="106" t="s">
        <v>241</v>
      </c>
      <c r="B148" s="107">
        <v>6960.44</v>
      </c>
      <c r="C148" s="107">
        <v>6815.09</v>
      </c>
    </row>
    <row r="149" spans="1:3" x14ac:dyDescent="0.35">
      <c r="A149" s="106" t="s">
        <v>242</v>
      </c>
      <c r="B149" s="107">
        <v>538.79</v>
      </c>
      <c r="C149" s="107">
        <v>647.29</v>
      </c>
    </row>
    <row r="150" spans="1:3" x14ac:dyDescent="0.35">
      <c r="A150" s="106" t="s">
        <v>243</v>
      </c>
      <c r="B150" s="107">
        <v>538.79</v>
      </c>
      <c r="C150" s="107">
        <v>647.29</v>
      </c>
    </row>
    <row r="151" spans="1:3" ht="26" x14ac:dyDescent="0.35">
      <c r="A151" s="106" t="s">
        <v>244</v>
      </c>
      <c r="B151" s="107">
        <v>3426.16</v>
      </c>
      <c r="C151" s="107">
        <v>3402.38</v>
      </c>
    </row>
    <row r="152" spans="1:3" x14ac:dyDescent="0.35">
      <c r="A152" s="106" t="s">
        <v>245</v>
      </c>
      <c r="B152" s="110">
        <v>57.95</v>
      </c>
      <c r="C152" s="110">
        <v>82.05</v>
      </c>
    </row>
    <row r="153" spans="1:3" x14ac:dyDescent="0.35">
      <c r="A153" s="106" t="s">
        <v>246</v>
      </c>
      <c r="B153" s="109">
        <v>12328.73</v>
      </c>
      <c r="C153" s="109">
        <v>11948.47</v>
      </c>
    </row>
    <row r="154" spans="1:3" x14ac:dyDescent="0.35">
      <c r="A154" s="106" t="s">
        <v>247</v>
      </c>
      <c r="B154" s="109">
        <v>12328.73</v>
      </c>
      <c r="C154" s="109">
        <v>11948.47</v>
      </c>
    </row>
    <row r="155" spans="1:3" x14ac:dyDescent="0.35">
      <c r="A155" s="106" t="s">
        <v>248</v>
      </c>
      <c r="B155" s="107">
        <v>811.23</v>
      </c>
      <c r="C155" s="107">
        <v>714.43</v>
      </c>
    </row>
    <row r="156" spans="1:3" x14ac:dyDescent="0.35">
      <c r="A156" s="106" t="s">
        <v>249</v>
      </c>
      <c r="B156" s="107">
        <v>9441.35</v>
      </c>
      <c r="C156" s="107">
        <v>9193.3799999999992</v>
      </c>
    </row>
    <row r="157" spans="1:3" x14ac:dyDescent="0.35">
      <c r="A157" s="106" t="s">
        <v>250</v>
      </c>
      <c r="B157" s="113">
        <v>-3169.85</v>
      </c>
      <c r="C157" s="113">
        <v>-2785.42</v>
      </c>
    </row>
    <row r="158" spans="1:3" x14ac:dyDescent="0.35">
      <c r="A158" s="106" t="s">
        <v>251</v>
      </c>
      <c r="B158" s="113">
        <v>-3169.85</v>
      </c>
      <c r="C158" s="113">
        <v>-2785.42</v>
      </c>
    </row>
    <row r="159" spans="1:3" x14ac:dyDescent="0.35">
      <c r="A159" s="106" t="s">
        <v>252</v>
      </c>
      <c r="B159" s="109">
        <v>12867.51</v>
      </c>
      <c r="C159" s="109">
        <v>12595.76</v>
      </c>
    </row>
    <row r="160" spans="1:3" x14ac:dyDescent="0.35">
      <c r="A160" s="106" t="s">
        <v>253</v>
      </c>
      <c r="B160" s="109">
        <v>12867.51</v>
      </c>
      <c r="C160" s="109">
        <v>12595.76</v>
      </c>
    </row>
    <row r="161" spans="1:3" x14ac:dyDescent="0.35">
      <c r="A161" s="106" t="s">
        <v>254</v>
      </c>
      <c r="B161" s="109">
        <v>13999.33</v>
      </c>
      <c r="C161" s="109">
        <v>13073.61</v>
      </c>
    </row>
    <row r="162" spans="1:3" x14ac:dyDescent="0.35">
      <c r="A162" s="106" t="s">
        <v>255</v>
      </c>
      <c r="B162" s="107">
        <v>4224.05</v>
      </c>
      <c r="C162" s="107">
        <v>3960.71</v>
      </c>
    </row>
    <row r="163" spans="1:3" x14ac:dyDescent="0.35">
      <c r="A163" s="106" t="s">
        <v>472</v>
      </c>
      <c r="B163" s="107">
        <v>1467.67</v>
      </c>
      <c r="C163" s="107">
        <v>1550.47</v>
      </c>
    </row>
    <row r="164" spans="1:3" x14ac:dyDescent="0.35">
      <c r="A164" s="106" t="s">
        <v>256</v>
      </c>
      <c r="B164" s="107">
        <v>639.67999999999995</v>
      </c>
      <c r="C164" s="107">
        <v>305.5</v>
      </c>
    </row>
    <row r="165" spans="1:3" x14ac:dyDescent="0.35">
      <c r="A165" s="106" t="s">
        <v>257</v>
      </c>
      <c r="B165" s="107">
        <v>100.89</v>
      </c>
      <c r="C165" s="113">
        <v>-341.79</v>
      </c>
    </row>
    <row r="166" spans="1:3" ht="26" x14ac:dyDescent="0.35">
      <c r="A166" s="106" t="s">
        <v>434</v>
      </c>
      <c r="B166" s="107">
        <v>2761.77</v>
      </c>
      <c r="C166" s="107">
        <v>2484.29</v>
      </c>
    </row>
    <row r="167" spans="1:3" x14ac:dyDescent="0.35">
      <c r="A167" s="106" t="s">
        <v>258</v>
      </c>
      <c r="B167" s="107">
        <v>9441.35</v>
      </c>
      <c r="C167" s="107">
        <v>9193.3799999999992</v>
      </c>
    </row>
    <row r="168" spans="1:3" x14ac:dyDescent="0.35">
      <c r="A168" s="104" t="s">
        <v>261</v>
      </c>
      <c r="B168" s="105"/>
      <c r="C168" s="105"/>
    </row>
    <row r="169" spans="1:3" x14ac:dyDescent="0.35">
      <c r="A169" s="106" t="s">
        <v>262</v>
      </c>
      <c r="B169" s="107">
        <v>176.87</v>
      </c>
      <c r="C169" s="107">
        <v>153.4</v>
      </c>
    </row>
    <row r="170" spans="1:3" x14ac:dyDescent="0.35">
      <c r="A170" s="108" t="s">
        <v>263</v>
      </c>
      <c r="B170" s="110">
        <v>42.93</v>
      </c>
      <c r="C170" s="110">
        <v>41.38</v>
      </c>
    </row>
    <row r="171" spans="1:3" x14ac:dyDescent="0.35">
      <c r="A171" s="108" t="s">
        <v>264</v>
      </c>
      <c r="B171" s="110">
        <v>38.450000000000003</v>
      </c>
      <c r="C171" s="110">
        <v>35.92</v>
      </c>
    </row>
    <row r="172" spans="1:3" x14ac:dyDescent="0.35">
      <c r="A172" s="108" t="s">
        <v>265</v>
      </c>
      <c r="B172" s="110">
        <v>31.26</v>
      </c>
      <c r="C172" s="110">
        <v>27.62</v>
      </c>
    </row>
    <row r="173" spans="1:3" x14ac:dyDescent="0.35">
      <c r="A173" s="108" t="s">
        <v>266</v>
      </c>
      <c r="B173" s="110">
        <v>24.16</v>
      </c>
      <c r="C173" s="110">
        <v>20.11</v>
      </c>
    </row>
    <row r="174" spans="1:3" x14ac:dyDescent="0.35">
      <c r="A174" s="108" t="s">
        <v>267</v>
      </c>
      <c r="B174" s="110">
        <v>17.84</v>
      </c>
      <c r="C174" s="110">
        <v>12.38</v>
      </c>
    </row>
    <row r="175" spans="1:3" x14ac:dyDescent="0.35">
      <c r="A175" s="108" t="s">
        <v>268</v>
      </c>
      <c r="B175" s="110">
        <v>45.05</v>
      </c>
      <c r="C175" s="110">
        <v>33.01</v>
      </c>
    </row>
    <row r="176" spans="1:3" ht="26" x14ac:dyDescent="0.35">
      <c r="A176" s="108" t="s">
        <v>269</v>
      </c>
      <c r="B176" s="110">
        <v>22.81</v>
      </c>
      <c r="C176" s="110">
        <v>17</v>
      </c>
    </row>
    <row r="177" spans="1:3" x14ac:dyDescent="0.35">
      <c r="A177" s="106" t="s">
        <v>270</v>
      </c>
      <c r="B177" s="110">
        <v>69.7</v>
      </c>
      <c r="C177" s="110">
        <v>63.54</v>
      </c>
    </row>
    <row r="178" spans="1:3" x14ac:dyDescent="0.35">
      <c r="A178" s="106" t="s">
        <v>271</v>
      </c>
      <c r="B178" s="110">
        <v>41.99</v>
      </c>
      <c r="C178" s="110">
        <v>32.49</v>
      </c>
    </row>
    <row r="179" spans="1:3" x14ac:dyDescent="0.35">
      <c r="A179" s="106" t="s">
        <v>272</v>
      </c>
      <c r="B179" s="110">
        <v>45.05</v>
      </c>
      <c r="C179" s="110">
        <v>33.01</v>
      </c>
    </row>
    <row r="180" spans="1:3" x14ac:dyDescent="0.35">
      <c r="A180" s="104" t="s">
        <v>273</v>
      </c>
      <c r="B180" s="105"/>
      <c r="C180" s="105"/>
    </row>
    <row r="181" spans="1:3" x14ac:dyDescent="0.35">
      <c r="A181" s="106" t="s">
        <v>274</v>
      </c>
      <c r="B181" s="109">
        <v>41900</v>
      </c>
      <c r="C181" s="109">
        <v>40100</v>
      </c>
    </row>
    <row r="182" spans="1:3" ht="26" x14ac:dyDescent="0.35">
      <c r="A182" s="106" t="s">
        <v>275</v>
      </c>
      <c r="B182" s="109">
        <v>41900</v>
      </c>
      <c r="C182" s="109">
        <v>40100</v>
      </c>
    </row>
    <row r="186" spans="1:3" x14ac:dyDescent="0.35">
      <c r="A186" s="98" t="s">
        <v>110</v>
      </c>
      <c r="B186" s="99" t="s">
        <v>111</v>
      </c>
      <c r="C186" s="99" t="s">
        <v>112</v>
      </c>
    </row>
    <row r="187" spans="1:3" x14ac:dyDescent="0.35">
      <c r="A187" s="100" t="s">
        <v>113</v>
      </c>
      <c r="B187" s="101">
        <v>45657</v>
      </c>
      <c r="C187" s="101">
        <v>46022</v>
      </c>
    </row>
    <row r="188" spans="1:3" x14ac:dyDescent="0.35">
      <c r="A188" s="100" t="s">
        <v>114</v>
      </c>
      <c r="B188" s="101" t="s">
        <v>115</v>
      </c>
      <c r="C188" s="101" t="s">
        <v>115</v>
      </c>
    </row>
    <row r="189" spans="1:3" x14ac:dyDescent="0.35">
      <c r="A189" s="102" t="s">
        <v>276</v>
      </c>
      <c r="B189" s="98"/>
      <c r="C189" s="98"/>
    </row>
    <row r="190" spans="1:3" x14ac:dyDescent="0.35">
      <c r="A190" s="102" t="s">
        <v>117</v>
      </c>
      <c r="B190" s="103" t="s">
        <v>118</v>
      </c>
      <c r="C190" s="103" t="s">
        <v>119</v>
      </c>
    </row>
    <row r="191" spans="1:3" x14ac:dyDescent="0.35">
      <c r="A191" s="104" t="s">
        <v>277</v>
      </c>
      <c r="B191" s="105"/>
      <c r="C191" s="105"/>
    </row>
    <row r="192" spans="1:3" x14ac:dyDescent="0.35">
      <c r="A192" s="106" t="s">
        <v>278</v>
      </c>
      <c r="B192" s="107">
        <v>8188.99</v>
      </c>
      <c r="C192" s="107">
        <v>8251.34</v>
      </c>
    </row>
    <row r="193" spans="1:3" x14ac:dyDescent="0.35">
      <c r="A193" s="108" t="s">
        <v>279</v>
      </c>
      <c r="B193" s="107">
        <v>8188.99</v>
      </c>
      <c r="C193" s="107">
        <v>8251.34</v>
      </c>
    </row>
    <row r="194" spans="1:3" x14ac:dyDescent="0.35">
      <c r="A194" s="111" t="s">
        <v>64</v>
      </c>
      <c r="B194" s="116">
        <v>8188.99</v>
      </c>
      <c r="C194" s="116">
        <v>8251.34</v>
      </c>
    </row>
    <row r="195" spans="1:3" x14ac:dyDescent="0.35">
      <c r="A195" s="104" t="s">
        <v>280</v>
      </c>
      <c r="B195" s="105"/>
      <c r="C195" s="105"/>
    </row>
    <row r="196" spans="1:3" x14ac:dyDescent="0.35">
      <c r="A196" s="106" t="s">
        <v>281</v>
      </c>
      <c r="B196" s="107">
        <v>6306.56</v>
      </c>
      <c r="C196" s="107">
        <v>6458.74</v>
      </c>
    </row>
    <row r="197" spans="1:3" x14ac:dyDescent="0.35">
      <c r="A197" s="108" t="s">
        <v>282</v>
      </c>
      <c r="B197" s="107">
        <v>6306.56</v>
      </c>
      <c r="C197" s="107">
        <v>6458.74</v>
      </c>
    </row>
    <row r="198" spans="1:3" x14ac:dyDescent="0.35">
      <c r="A198" s="108" t="s">
        <v>283</v>
      </c>
      <c r="B198" s="107">
        <v>5784.32</v>
      </c>
      <c r="C198" s="107">
        <v>6012.66</v>
      </c>
    </row>
    <row r="199" spans="1:3" x14ac:dyDescent="0.35">
      <c r="A199" s="108" t="s">
        <v>494</v>
      </c>
      <c r="B199" s="107">
        <v>350.29</v>
      </c>
      <c r="C199" s="107">
        <v>227.22</v>
      </c>
    </row>
    <row r="200" spans="1:3" x14ac:dyDescent="0.35">
      <c r="A200" s="108" t="s">
        <v>284</v>
      </c>
      <c r="B200" s="107">
        <v>138.21</v>
      </c>
      <c r="C200" s="107">
        <v>155.78</v>
      </c>
    </row>
    <row r="201" spans="1:3" ht="26" x14ac:dyDescent="0.35">
      <c r="A201" s="108" t="s">
        <v>551</v>
      </c>
      <c r="B201" s="110">
        <v>26.05</v>
      </c>
      <c r="C201" s="110">
        <v>56.98</v>
      </c>
    </row>
    <row r="202" spans="1:3" x14ac:dyDescent="0.35">
      <c r="A202" s="108" t="s">
        <v>435</v>
      </c>
      <c r="B202" s="110">
        <v>7.7</v>
      </c>
      <c r="C202" s="110">
        <v>6.1</v>
      </c>
    </row>
    <row r="203" spans="1:3" x14ac:dyDescent="0.35">
      <c r="A203" s="108" t="s">
        <v>552</v>
      </c>
      <c r="B203" s="110">
        <v>7.7</v>
      </c>
      <c r="C203" s="110">
        <v>6.1</v>
      </c>
    </row>
    <row r="204" spans="1:3" x14ac:dyDescent="0.35">
      <c r="A204" s="111" t="s">
        <v>68</v>
      </c>
      <c r="B204" s="116">
        <v>1882.43</v>
      </c>
      <c r="C204" s="116">
        <v>1792.6</v>
      </c>
    </row>
    <row r="205" spans="1:3" x14ac:dyDescent="0.35">
      <c r="A205" s="106" t="s">
        <v>286</v>
      </c>
      <c r="B205" s="107">
        <v>728.35</v>
      </c>
      <c r="C205" s="107">
        <v>780.14</v>
      </c>
    </row>
    <row r="206" spans="1:3" x14ac:dyDescent="0.35">
      <c r="A206" s="108" t="s">
        <v>287</v>
      </c>
      <c r="B206" s="107">
        <v>671.32</v>
      </c>
      <c r="C206" s="107">
        <v>698.09</v>
      </c>
    </row>
    <row r="207" spans="1:3" ht="39" x14ac:dyDescent="0.35">
      <c r="A207" s="108" t="s">
        <v>547</v>
      </c>
      <c r="B207" s="110">
        <v>19.82</v>
      </c>
      <c r="C207" s="110">
        <v>47.55</v>
      </c>
    </row>
    <row r="208" spans="1:3" x14ac:dyDescent="0.35">
      <c r="A208" s="108" t="s">
        <v>289</v>
      </c>
      <c r="B208" s="110">
        <v>37.200000000000003</v>
      </c>
      <c r="C208" s="110">
        <v>34.5</v>
      </c>
    </row>
    <row r="209" spans="1:3" x14ac:dyDescent="0.35">
      <c r="A209" s="108" t="s">
        <v>495</v>
      </c>
      <c r="B209" s="110">
        <v>37.200000000000003</v>
      </c>
      <c r="C209" s="110">
        <v>34.5</v>
      </c>
    </row>
    <row r="210" spans="1:3" x14ac:dyDescent="0.35">
      <c r="A210" s="106" t="s">
        <v>76</v>
      </c>
      <c r="B210" s="107">
        <v>7034.91</v>
      </c>
      <c r="C210" s="107">
        <v>7238.88</v>
      </c>
    </row>
    <row r="211" spans="1:3" x14ac:dyDescent="0.35">
      <c r="A211" s="104" t="s">
        <v>292</v>
      </c>
      <c r="B211" s="105"/>
      <c r="C211" s="105"/>
    </row>
    <row r="212" spans="1:3" x14ac:dyDescent="0.35">
      <c r="A212" s="111" t="s">
        <v>293</v>
      </c>
      <c r="B212" s="116">
        <v>1154.08</v>
      </c>
      <c r="C212" s="116">
        <v>1012.46</v>
      </c>
    </row>
    <row r="213" spans="1:3" x14ac:dyDescent="0.35">
      <c r="A213" s="104" t="s">
        <v>294</v>
      </c>
      <c r="B213" s="105"/>
      <c r="C213" s="105"/>
    </row>
    <row r="214" spans="1:3" x14ac:dyDescent="0.35">
      <c r="A214" s="106" t="s">
        <v>295</v>
      </c>
      <c r="B214" s="113">
        <v>-228.63</v>
      </c>
      <c r="C214" s="113">
        <v>-190.38</v>
      </c>
    </row>
    <row r="215" spans="1:3" x14ac:dyDescent="0.35">
      <c r="A215" s="108" t="s">
        <v>81</v>
      </c>
      <c r="B215" s="107">
        <v>228.63</v>
      </c>
      <c r="C215" s="107">
        <v>190.38</v>
      </c>
    </row>
    <row r="216" spans="1:3" x14ac:dyDescent="0.35">
      <c r="A216" s="108" t="s">
        <v>296</v>
      </c>
      <c r="B216" s="110">
        <v>8.61</v>
      </c>
      <c r="C216" s="110">
        <v>7.11</v>
      </c>
    </row>
    <row r="217" spans="1:3" x14ac:dyDescent="0.35">
      <c r="A217" s="108" t="s">
        <v>297</v>
      </c>
      <c r="B217" s="107">
        <v>237.24</v>
      </c>
      <c r="C217" s="107">
        <v>197.49</v>
      </c>
    </row>
    <row r="218" spans="1:3" x14ac:dyDescent="0.35">
      <c r="A218" s="106" t="s">
        <v>438</v>
      </c>
      <c r="B218" s="109"/>
      <c r="C218" s="110">
        <v>1</v>
      </c>
    </row>
    <row r="219" spans="1:3" ht="26" x14ac:dyDescent="0.35">
      <c r="A219" s="108" t="s">
        <v>439</v>
      </c>
      <c r="B219" s="109"/>
      <c r="C219" s="110">
        <v>1</v>
      </c>
    </row>
    <row r="220" spans="1:3" x14ac:dyDescent="0.35">
      <c r="A220" s="106" t="s">
        <v>304</v>
      </c>
      <c r="B220" s="107">
        <v>925.45</v>
      </c>
      <c r="C220" s="107">
        <v>823.08</v>
      </c>
    </row>
    <row r="221" spans="1:3" x14ac:dyDescent="0.35">
      <c r="A221" s="104" t="s">
        <v>305</v>
      </c>
      <c r="B221" s="105"/>
      <c r="C221" s="105"/>
    </row>
    <row r="222" spans="1:3" x14ac:dyDescent="0.35">
      <c r="A222" s="106" t="s">
        <v>306</v>
      </c>
      <c r="B222" s="113">
        <v>-121.7</v>
      </c>
      <c r="C222" s="113">
        <v>-570.61</v>
      </c>
    </row>
    <row r="223" spans="1:3" x14ac:dyDescent="0.35">
      <c r="A223" s="108" t="s">
        <v>307</v>
      </c>
      <c r="B223" s="109">
        <v>0</v>
      </c>
      <c r="C223" s="107">
        <v>465.28</v>
      </c>
    </row>
    <row r="224" spans="1:3" x14ac:dyDescent="0.35">
      <c r="A224" s="108" t="s">
        <v>308</v>
      </c>
      <c r="B224" s="109"/>
      <c r="C224" s="110">
        <v>14.29</v>
      </c>
    </row>
    <row r="225" spans="1:3" x14ac:dyDescent="0.35">
      <c r="A225" s="108" t="s">
        <v>553</v>
      </c>
      <c r="B225" s="109">
        <v>0</v>
      </c>
      <c r="C225" s="107">
        <v>364.25</v>
      </c>
    </row>
    <row r="226" spans="1:3" x14ac:dyDescent="0.35">
      <c r="A226" s="108" t="s">
        <v>554</v>
      </c>
      <c r="B226" s="109">
        <v>0</v>
      </c>
      <c r="C226" s="110">
        <v>86.74</v>
      </c>
    </row>
    <row r="227" spans="1:3" x14ac:dyDescent="0.35">
      <c r="A227" s="108" t="s">
        <v>555</v>
      </c>
      <c r="B227" s="109"/>
      <c r="C227" s="110">
        <v>1</v>
      </c>
    </row>
    <row r="228" spans="1:3" x14ac:dyDescent="0.35">
      <c r="A228" s="108" t="s">
        <v>310</v>
      </c>
      <c r="B228" s="110">
        <v>92.12</v>
      </c>
      <c r="C228" s="110">
        <v>79.069999999999993</v>
      </c>
    </row>
    <row r="229" spans="1:3" x14ac:dyDescent="0.35">
      <c r="A229" s="108" t="s">
        <v>556</v>
      </c>
      <c r="B229" s="110">
        <v>29.57</v>
      </c>
      <c r="C229" s="110">
        <v>25.27</v>
      </c>
    </row>
    <row r="230" spans="1:3" x14ac:dyDescent="0.35">
      <c r="A230" s="104" t="s">
        <v>313</v>
      </c>
      <c r="B230" s="105"/>
      <c r="C230" s="105"/>
    </row>
    <row r="231" spans="1:3" x14ac:dyDescent="0.35">
      <c r="A231" s="111" t="s">
        <v>83</v>
      </c>
      <c r="B231" s="116">
        <v>803.76</v>
      </c>
      <c r="C231" s="116">
        <v>252.47</v>
      </c>
    </row>
    <row r="232" spans="1:3" x14ac:dyDescent="0.35">
      <c r="A232" s="104" t="s">
        <v>314</v>
      </c>
      <c r="B232" s="105"/>
      <c r="C232" s="105"/>
    </row>
    <row r="233" spans="1:3" x14ac:dyDescent="0.35">
      <c r="A233" s="106" t="s">
        <v>84</v>
      </c>
      <c r="B233" s="110">
        <v>64.63</v>
      </c>
      <c r="C233" s="110">
        <v>23.13</v>
      </c>
    </row>
    <row r="234" spans="1:3" x14ac:dyDescent="0.35">
      <c r="A234" s="108" t="s">
        <v>315</v>
      </c>
      <c r="B234" s="107">
        <v>167.52</v>
      </c>
      <c r="C234" s="107">
        <v>152.04</v>
      </c>
    </row>
    <row r="235" spans="1:3" x14ac:dyDescent="0.35">
      <c r="A235" s="108" t="s">
        <v>316</v>
      </c>
      <c r="B235" s="107">
        <v>108.03</v>
      </c>
      <c r="C235" s="110">
        <v>88.23</v>
      </c>
    </row>
    <row r="236" spans="1:3" x14ac:dyDescent="0.35">
      <c r="A236" s="108" t="s">
        <v>317</v>
      </c>
      <c r="B236" s="114">
        <v>-45.82</v>
      </c>
      <c r="C236" s="114">
        <v>-36.39</v>
      </c>
    </row>
    <row r="237" spans="1:3" x14ac:dyDescent="0.35">
      <c r="A237" s="108" t="s">
        <v>557</v>
      </c>
      <c r="B237" s="107">
        <v>105.31</v>
      </c>
      <c r="C237" s="107">
        <v>100.2</v>
      </c>
    </row>
    <row r="238" spans="1:3" x14ac:dyDescent="0.35">
      <c r="A238" s="108" t="s">
        <v>318</v>
      </c>
      <c r="B238" s="113">
        <v>-102.89</v>
      </c>
      <c r="C238" s="113">
        <v>-128.91999999999999</v>
      </c>
    </row>
    <row r="239" spans="1:3" x14ac:dyDescent="0.35">
      <c r="A239" s="108" t="s">
        <v>319</v>
      </c>
      <c r="B239" s="114">
        <v>-25.03</v>
      </c>
      <c r="C239" s="114">
        <v>-38.93</v>
      </c>
    </row>
    <row r="240" spans="1:3" x14ac:dyDescent="0.35">
      <c r="A240" s="108" t="s">
        <v>320</v>
      </c>
      <c r="B240" s="114">
        <v>-70.069999999999993</v>
      </c>
      <c r="C240" s="114">
        <v>-91.14</v>
      </c>
    </row>
    <row r="241" spans="1:3" x14ac:dyDescent="0.35">
      <c r="A241" s="108" t="s">
        <v>558</v>
      </c>
      <c r="B241" s="114">
        <v>-7.79</v>
      </c>
      <c r="C241" s="110">
        <v>1.1499999999999999</v>
      </c>
    </row>
    <row r="242" spans="1:3" x14ac:dyDescent="0.35">
      <c r="A242" s="104" t="s">
        <v>321</v>
      </c>
      <c r="B242" s="105"/>
      <c r="C242" s="105"/>
    </row>
    <row r="243" spans="1:3" x14ac:dyDescent="0.35">
      <c r="A243" s="106" t="s">
        <v>322</v>
      </c>
      <c r="B243" s="107">
        <v>739.13</v>
      </c>
      <c r="C243" s="107">
        <v>229.34</v>
      </c>
    </row>
    <row r="244" spans="1:3" x14ac:dyDescent="0.35">
      <c r="A244" s="104" t="s">
        <v>323</v>
      </c>
      <c r="B244" s="105"/>
      <c r="C244" s="105"/>
    </row>
    <row r="245" spans="1:3" x14ac:dyDescent="0.35">
      <c r="A245" s="106" t="s">
        <v>496</v>
      </c>
      <c r="B245" s="109">
        <v>0</v>
      </c>
      <c r="C245" s="109">
        <v>0</v>
      </c>
    </row>
    <row r="246" spans="1:3" ht="26" x14ac:dyDescent="0.35">
      <c r="A246" s="111" t="s">
        <v>324</v>
      </c>
      <c r="B246" s="116">
        <v>739.13</v>
      </c>
      <c r="C246" s="116">
        <v>229.34</v>
      </c>
    </row>
    <row r="247" spans="1:3" x14ac:dyDescent="0.35">
      <c r="A247" s="106" t="s">
        <v>327</v>
      </c>
      <c r="B247" s="107">
        <v>739.13</v>
      </c>
      <c r="C247" s="107">
        <v>229.34</v>
      </c>
    </row>
    <row r="248" spans="1:3" x14ac:dyDescent="0.35">
      <c r="A248" s="106" t="s">
        <v>85</v>
      </c>
      <c r="B248" s="107">
        <v>739.13</v>
      </c>
      <c r="C248" s="107">
        <v>229.34</v>
      </c>
    </row>
    <row r="249" spans="1:3" x14ac:dyDescent="0.35">
      <c r="A249" s="104" t="s">
        <v>328</v>
      </c>
      <c r="B249" s="105"/>
      <c r="C249" s="105"/>
    </row>
    <row r="250" spans="1:3" x14ac:dyDescent="0.35">
      <c r="A250" s="111" t="s">
        <v>330</v>
      </c>
      <c r="B250" s="116">
        <v>739.13</v>
      </c>
      <c r="C250" s="116">
        <v>229.34</v>
      </c>
    </row>
    <row r="251" spans="1:3" x14ac:dyDescent="0.35">
      <c r="A251" s="104" t="s">
        <v>331</v>
      </c>
      <c r="B251" s="105"/>
      <c r="C251" s="105"/>
    </row>
    <row r="252" spans="1:3" x14ac:dyDescent="0.35">
      <c r="A252" s="106" t="s">
        <v>332</v>
      </c>
      <c r="B252" s="107">
        <v>739.13</v>
      </c>
      <c r="C252" s="107">
        <v>229.34</v>
      </c>
    </row>
    <row r="253" spans="1:3" x14ac:dyDescent="0.35">
      <c r="A253" s="106" t="s">
        <v>333</v>
      </c>
      <c r="B253" s="114">
        <v>-84.93</v>
      </c>
      <c r="C253" s="107">
        <v>159.44999999999999</v>
      </c>
    </row>
    <row r="254" spans="1:3" x14ac:dyDescent="0.35">
      <c r="A254" s="106" t="s">
        <v>335</v>
      </c>
      <c r="B254" s="110">
        <v>4.58</v>
      </c>
      <c r="C254" s="114">
        <v>-2.42</v>
      </c>
    </row>
    <row r="255" spans="1:3" x14ac:dyDescent="0.35">
      <c r="A255" s="106" t="s">
        <v>336</v>
      </c>
      <c r="B255" s="114">
        <v>-6.08</v>
      </c>
      <c r="C255" s="110">
        <v>4.3600000000000003</v>
      </c>
    </row>
    <row r="256" spans="1:3" x14ac:dyDescent="0.35">
      <c r="A256" s="106" t="s">
        <v>338</v>
      </c>
      <c r="B256" s="114">
        <v>-86.42</v>
      </c>
      <c r="C256" s="107">
        <v>161.4</v>
      </c>
    </row>
    <row r="257" spans="1:3" x14ac:dyDescent="0.35">
      <c r="A257" s="111" t="s">
        <v>339</v>
      </c>
      <c r="B257" s="116">
        <v>652.70000000000005</v>
      </c>
      <c r="C257" s="116">
        <v>390.73</v>
      </c>
    </row>
    <row r="258" spans="1:3" ht="26" x14ac:dyDescent="0.35">
      <c r="A258" s="106" t="s">
        <v>340</v>
      </c>
      <c r="B258" s="107">
        <v>652.70000000000005</v>
      </c>
      <c r="C258" s="107">
        <v>390.73</v>
      </c>
    </row>
    <row r="259" spans="1:3" x14ac:dyDescent="0.35">
      <c r="A259" s="104" t="s">
        <v>341</v>
      </c>
      <c r="B259" s="105"/>
      <c r="C259" s="105"/>
    </row>
    <row r="260" spans="1:3" ht="26" x14ac:dyDescent="0.35">
      <c r="A260" s="106" t="s">
        <v>342</v>
      </c>
      <c r="B260" s="107">
        <v>739.13</v>
      </c>
      <c r="C260" s="107">
        <v>229.34</v>
      </c>
    </row>
    <row r="261" spans="1:3" ht="26" x14ac:dyDescent="0.35">
      <c r="A261" s="108" t="s">
        <v>343</v>
      </c>
      <c r="B261" s="107">
        <v>739.13</v>
      </c>
      <c r="C261" s="107">
        <v>229.34</v>
      </c>
    </row>
    <row r="262" spans="1:3" x14ac:dyDescent="0.35">
      <c r="A262" s="108" t="s">
        <v>344</v>
      </c>
      <c r="B262" s="110">
        <v>82.48</v>
      </c>
      <c r="C262" s="110">
        <v>78.42</v>
      </c>
    </row>
    <row r="263" spans="1:3" ht="26" x14ac:dyDescent="0.35">
      <c r="A263" s="108" t="s">
        <v>345</v>
      </c>
      <c r="B263" s="110">
        <v>8.9600000000000009</v>
      </c>
      <c r="C263" s="110">
        <v>2.92</v>
      </c>
    </row>
    <row r="264" spans="1:3" ht="26" x14ac:dyDescent="0.35">
      <c r="A264" s="108" t="s">
        <v>346</v>
      </c>
      <c r="B264" s="110">
        <v>8.9600000000000009</v>
      </c>
      <c r="C264" s="110">
        <v>2.92</v>
      </c>
    </row>
    <row r="265" spans="1:3" ht="26" x14ac:dyDescent="0.35">
      <c r="A265" s="108" t="s">
        <v>347</v>
      </c>
      <c r="B265" s="110">
        <v>10.44</v>
      </c>
      <c r="C265" s="110">
        <v>10.199999999999999</v>
      </c>
    </row>
    <row r="266" spans="1:3" ht="26" x14ac:dyDescent="0.35">
      <c r="A266" s="106" t="s">
        <v>348</v>
      </c>
      <c r="B266" s="107">
        <v>739.13</v>
      </c>
      <c r="C266" s="107">
        <v>229.34</v>
      </c>
    </row>
    <row r="267" spans="1:3" x14ac:dyDescent="0.35">
      <c r="A267" s="106" t="s">
        <v>349</v>
      </c>
      <c r="B267" s="110">
        <v>1</v>
      </c>
      <c r="C267" s="110">
        <v>1</v>
      </c>
    </row>
    <row r="268" spans="1:3" x14ac:dyDescent="0.35">
      <c r="A268" s="108" t="s">
        <v>350</v>
      </c>
      <c r="B268" s="110">
        <v>82.48</v>
      </c>
      <c r="C268" s="110">
        <v>78.42</v>
      </c>
    </row>
    <row r="269" spans="1:3" ht="26" x14ac:dyDescent="0.35">
      <c r="A269" s="108" t="s">
        <v>351</v>
      </c>
      <c r="B269" s="110">
        <v>8.9600000000000009</v>
      </c>
      <c r="C269" s="110">
        <v>2.92</v>
      </c>
    </row>
    <row r="270" spans="1:3" ht="26" x14ac:dyDescent="0.35">
      <c r="A270" s="108" t="s">
        <v>352</v>
      </c>
      <c r="B270" s="110">
        <v>8.9600000000000009</v>
      </c>
      <c r="C270" s="110">
        <v>2.92</v>
      </c>
    </row>
    <row r="271" spans="1:3" ht="26" x14ac:dyDescent="0.35">
      <c r="A271" s="108" t="s">
        <v>353</v>
      </c>
      <c r="B271" s="110">
        <v>10.44</v>
      </c>
      <c r="C271" s="110">
        <v>10.199999999999999</v>
      </c>
    </row>
    <row r="272" spans="1:3" ht="26" x14ac:dyDescent="0.35">
      <c r="A272" s="106" t="s">
        <v>354</v>
      </c>
      <c r="B272" s="109">
        <v>0</v>
      </c>
      <c r="C272" s="109">
        <v>0</v>
      </c>
    </row>
    <row r="273" spans="1:3" x14ac:dyDescent="0.35">
      <c r="A273" s="106" t="s">
        <v>355</v>
      </c>
      <c r="B273" s="110">
        <v>7.91</v>
      </c>
      <c r="C273" s="110">
        <v>4.9800000000000004</v>
      </c>
    </row>
    <row r="274" spans="1:3" x14ac:dyDescent="0.35">
      <c r="A274" s="104" t="s">
        <v>356</v>
      </c>
      <c r="B274" s="105"/>
      <c r="C274" s="105"/>
    </row>
    <row r="275" spans="1:3" ht="26" x14ac:dyDescent="0.35">
      <c r="A275" s="106" t="s">
        <v>357</v>
      </c>
      <c r="B275" s="107">
        <v>739.13</v>
      </c>
      <c r="C275" s="107">
        <v>229.34</v>
      </c>
    </row>
    <row r="276" spans="1:3" ht="26" x14ac:dyDescent="0.35">
      <c r="A276" s="108" t="s">
        <v>358</v>
      </c>
      <c r="B276" s="107">
        <v>739.13</v>
      </c>
      <c r="C276" s="107">
        <v>229.34</v>
      </c>
    </row>
    <row r="277" spans="1:3" x14ac:dyDescent="0.35">
      <c r="A277" s="108" t="s">
        <v>359</v>
      </c>
      <c r="B277" s="110">
        <v>83.03</v>
      </c>
      <c r="C277" s="110">
        <v>78.97</v>
      </c>
    </row>
    <row r="278" spans="1:3" ht="26" x14ac:dyDescent="0.35">
      <c r="A278" s="108" t="s">
        <v>360</v>
      </c>
      <c r="B278" s="110">
        <v>8.9</v>
      </c>
      <c r="C278" s="110">
        <v>2.9</v>
      </c>
    </row>
    <row r="279" spans="1:3" ht="26" x14ac:dyDescent="0.35">
      <c r="A279" s="108" t="s">
        <v>361</v>
      </c>
      <c r="B279" s="110">
        <v>8.9</v>
      </c>
      <c r="C279" s="110">
        <v>2.9</v>
      </c>
    </row>
    <row r="280" spans="1:3" ht="26" x14ac:dyDescent="0.35">
      <c r="A280" s="108" t="s">
        <v>362</v>
      </c>
      <c r="B280" s="110">
        <v>10.37</v>
      </c>
      <c r="C280" s="110">
        <v>10.130000000000001</v>
      </c>
    </row>
    <row r="281" spans="1:3" ht="26" x14ac:dyDescent="0.35">
      <c r="A281" s="106" t="s">
        <v>363</v>
      </c>
      <c r="B281" s="107">
        <v>739.13</v>
      </c>
      <c r="C281" s="107">
        <v>229.34</v>
      </c>
    </row>
    <row r="282" spans="1:3" x14ac:dyDescent="0.35">
      <c r="A282" s="106" t="s">
        <v>364</v>
      </c>
      <c r="B282" s="110">
        <v>1</v>
      </c>
      <c r="C282" s="110">
        <v>1</v>
      </c>
    </row>
    <row r="283" spans="1:3" x14ac:dyDescent="0.35">
      <c r="A283" s="108" t="s">
        <v>365</v>
      </c>
      <c r="B283" s="110">
        <v>83.03</v>
      </c>
      <c r="C283" s="110">
        <v>78.97</v>
      </c>
    </row>
    <row r="284" spans="1:3" ht="26" x14ac:dyDescent="0.35">
      <c r="A284" s="108" t="s">
        <v>366</v>
      </c>
      <c r="B284" s="110">
        <v>8.9</v>
      </c>
      <c r="C284" s="110">
        <v>2.9</v>
      </c>
    </row>
    <row r="285" spans="1:3" ht="26" x14ac:dyDescent="0.35">
      <c r="A285" s="108" t="s">
        <v>367</v>
      </c>
      <c r="B285" s="110">
        <v>8.9</v>
      </c>
      <c r="C285" s="110">
        <v>2.9</v>
      </c>
    </row>
    <row r="286" spans="1:3" ht="26" x14ac:dyDescent="0.35">
      <c r="A286" s="108" t="s">
        <v>368</v>
      </c>
      <c r="B286" s="110">
        <v>10.37</v>
      </c>
      <c r="C286" s="110">
        <v>10.130000000000001</v>
      </c>
    </row>
    <row r="287" spans="1:3" ht="26" x14ac:dyDescent="0.35">
      <c r="A287" s="106" t="s">
        <v>369</v>
      </c>
      <c r="B287" s="109">
        <v>0</v>
      </c>
      <c r="C287" s="109">
        <v>0</v>
      </c>
    </row>
    <row r="288" spans="1:3" ht="26" x14ac:dyDescent="0.35">
      <c r="A288" s="106" t="s">
        <v>370</v>
      </c>
      <c r="B288" s="110">
        <v>7.86</v>
      </c>
      <c r="C288" s="110">
        <v>4.95</v>
      </c>
    </row>
    <row r="289" spans="1:3" x14ac:dyDescent="0.35">
      <c r="A289" s="104" t="s">
        <v>371</v>
      </c>
      <c r="B289" s="105"/>
      <c r="C289" s="105"/>
    </row>
    <row r="290" spans="1:3" x14ac:dyDescent="0.35">
      <c r="A290" s="106" t="s">
        <v>372</v>
      </c>
      <c r="B290" s="109">
        <v>0</v>
      </c>
      <c r="C290" s="109">
        <v>0</v>
      </c>
    </row>
    <row r="291" spans="1:3" x14ac:dyDescent="0.35">
      <c r="A291" s="106" t="s">
        <v>373</v>
      </c>
      <c r="B291" s="109">
        <v>0</v>
      </c>
      <c r="C291" s="109">
        <v>0</v>
      </c>
    </row>
    <row r="292" spans="1:3" x14ac:dyDescent="0.35">
      <c r="A292" s="104" t="s">
        <v>374</v>
      </c>
      <c r="B292" s="105"/>
      <c r="C292" s="105"/>
    </row>
    <row r="293" spans="1:3" x14ac:dyDescent="0.35">
      <c r="A293" s="106" t="s">
        <v>78</v>
      </c>
      <c r="B293" s="107">
        <v>1154.08</v>
      </c>
      <c r="C293" s="107">
        <v>1012.46</v>
      </c>
    </row>
    <row r="294" spans="1:3" ht="26" x14ac:dyDescent="0.35">
      <c r="A294" s="106" t="s">
        <v>80</v>
      </c>
      <c r="B294" s="107">
        <v>1642.58</v>
      </c>
      <c r="C294" s="107">
        <v>1395.46</v>
      </c>
    </row>
    <row r="295" spans="1:3" ht="26" x14ac:dyDescent="0.35">
      <c r="A295" s="106" t="s">
        <v>376</v>
      </c>
      <c r="B295" s="107">
        <v>1689.05</v>
      </c>
      <c r="C295" s="107">
        <v>1438.93</v>
      </c>
    </row>
    <row r="296" spans="1:3" x14ac:dyDescent="0.35">
      <c r="A296" s="104" t="s">
        <v>377</v>
      </c>
      <c r="B296" s="105"/>
      <c r="C296" s="105"/>
    </row>
    <row r="297" spans="1:3" x14ac:dyDescent="0.35">
      <c r="A297" s="106" t="s">
        <v>378</v>
      </c>
      <c r="B297" s="107">
        <v>488.5</v>
      </c>
      <c r="C297" s="107">
        <v>383</v>
      </c>
    </row>
    <row r="298" spans="1:3" x14ac:dyDescent="0.35">
      <c r="A298" s="108" t="s">
        <v>379</v>
      </c>
      <c r="B298" s="107">
        <v>138.21</v>
      </c>
      <c r="C298" s="107">
        <v>155.78</v>
      </c>
    </row>
    <row r="299" spans="1:3" x14ac:dyDescent="0.35">
      <c r="A299" s="108" t="s">
        <v>477</v>
      </c>
      <c r="B299" s="107">
        <v>350.29</v>
      </c>
      <c r="C299" s="107">
        <v>227.22</v>
      </c>
    </row>
    <row r="300" spans="1:3" x14ac:dyDescent="0.35">
      <c r="A300" s="108" t="s">
        <v>497</v>
      </c>
      <c r="B300" s="107">
        <v>350.29</v>
      </c>
      <c r="C300" s="107">
        <v>227.22</v>
      </c>
    </row>
    <row r="301" spans="1:3" x14ac:dyDescent="0.35">
      <c r="A301" s="104" t="s">
        <v>381</v>
      </c>
      <c r="B301" s="105"/>
      <c r="C301" s="105"/>
    </row>
    <row r="302" spans="1:3" x14ac:dyDescent="0.35">
      <c r="A302" s="106" t="s">
        <v>79</v>
      </c>
      <c r="B302" s="107">
        <v>488.5</v>
      </c>
      <c r="C302" s="107">
        <v>383</v>
      </c>
    </row>
    <row r="303" spans="1:3" x14ac:dyDescent="0.35">
      <c r="A303" s="108" t="s">
        <v>382</v>
      </c>
      <c r="B303" s="107">
        <v>138.21</v>
      </c>
      <c r="C303" s="107">
        <v>155.78</v>
      </c>
    </row>
    <row r="304" spans="1:3" ht="26" x14ac:dyDescent="0.35">
      <c r="A304" s="108" t="s">
        <v>498</v>
      </c>
      <c r="B304" s="107">
        <v>350.29</v>
      </c>
      <c r="C304" s="107">
        <v>227.22</v>
      </c>
    </row>
    <row r="305" spans="1:3" x14ac:dyDescent="0.35">
      <c r="A305" s="104" t="s">
        <v>385</v>
      </c>
      <c r="B305" s="105"/>
      <c r="C305" s="105"/>
    </row>
    <row r="306" spans="1:3" x14ac:dyDescent="0.35">
      <c r="A306" s="106" t="s">
        <v>386</v>
      </c>
      <c r="B306" s="109"/>
      <c r="C306" s="109"/>
    </row>
    <row r="307" spans="1:3" ht="26" x14ac:dyDescent="0.35">
      <c r="A307" s="108" t="s">
        <v>387</v>
      </c>
      <c r="B307" s="110">
        <v>40.14</v>
      </c>
      <c r="C307" s="110">
        <v>91.46</v>
      </c>
    </row>
    <row r="308" spans="1:3" ht="26" x14ac:dyDescent="0.35">
      <c r="A308" s="108" t="s">
        <v>388</v>
      </c>
      <c r="B308" s="110">
        <v>45.87</v>
      </c>
      <c r="C308" s="107">
        <v>104.53</v>
      </c>
    </row>
    <row r="309" spans="1:3" x14ac:dyDescent="0.35">
      <c r="A309" s="108" t="s">
        <v>389</v>
      </c>
      <c r="B309" s="110">
        <v>5.73</v>
      </c>
      <c r="C309" s="110">
        <v>13.07</v>
      </c>
    </row>
    <row r="310" spans="1:3" x14ac:dyDescent="0.35">
      <c r="A310" s="104" t="s">
        <v>390</v>
      </c>
      <c r="B310" s="105"/>
      <c r="C310" s="105"/>
    </row>
    <row r="311" spans="1:3" x14ac:dyDescent="0.35">
      <c r="A311" s="106" t="s">
        <v>390</v>
      </c>
      <c r="B311" s="110">
        <v>8.26</v>
      </c>
      <c r="C311" s="110">
        <v>13.77</v>
      </c>
    </row>
    <row r="312" spans="1:3" x14ac:dyDescent="0.35">
      <c r="A312" s="108" t="s">
        <v>391</v>
      </c>
      <c r="B312" s="110">
        <v>4.16</v>
      </c>
      <c r="C312" s="110">
        <v>13.12</v>
      </c>
    </row>
    <row r="313" spans="1:3" x14ac:dyDescent="0.35">
      <c r="A313" s="108" t="s">
        <v>392</v>
      </c>
      <c r="B313" s="110">
        <v>3.91</v>
      </c>
      <c r="C313" s="110">
        <v>0.6</v>
      </c>
    </row>
    <row r="314" spans="1:3" x14ac:dyDescent="0.35">
      <c r="A314" s="108" t="s">
        <v>444</v>
      </c>
      <c r="B314" s="110">
        <v>0.19</v>
      </c>
      <c r="C314" s="110">
        <v>0.04</v>
      </c>
    </row>
    <row r="315" spans="1:3" x14ac:dyDescent="0.35">
      <c r="A315" s="104" t="s">
        <v>393</v>
      </c>
      <c r="B315" s="105"/>
      <c r="C315" s="105"/>
    </row>
    <row r="316" spans="1:3" x14ac:dyDescent="0.35">
      <c r="A316" s="106" t="s">
        <v>394</v>
      </c>
      <c r="B316" s="107">
        <v>860.82</v>
      </c>
      <c r="C316" s="107">
        <v>799.95</v>
      </c>
    </row>
    <row r="317" spans="1:3" x14ac:dyDescent="0.35">
      <c r="A317" s="106" t="s">
        <v>395</v>
      </c>
      <c r="B317" s="107">
        <v>860.82</v>
      </c>
      <c r="C317" s="107">
        <v>799.95</v>
      </c>
    </row>
    <row r="318" spans="1:3" x14ac:dyDescent="0.35">
      <c r="A318" s="106" t="s">
        <v>396</v>
      </c>
      <c r="B318" s="107">
        <v>860.82</v>
      </c>
      <c r="C318" s="107">
        <v>799.95</v>
      </c>
    </row>
    <row r="319" spans="1:3" x14ac:dyDescent="0.35">
      <c r="A319" s="106" t="s">
        <v>397</v>
      </c>
      <c r="B319" s="107">
        <v>1154.08</v>
      </c>
      <c r="C319" s="107">
        <v>1013.46</v>
      </c>
    </row>
    <row r="320" spans="1:3" ht="26" x14ac:dyDescent="0.35">
      <c r="A320" s="106" t="s">
        <v>398</v>
      </c>
      <c r="B320" s="107">
        <v>1642.58</v>
      </c>
      <c r="C320" s="107">
        <v>1396.46</v>
      </c>
    </row>
    <row r="321" spans="1:3" x14ac:dyDescent="0.35">
      <c r="A321" s="104" t="s">
        <v>399</v>
      </c>
      <c r="B321" s="105"/>
      <c r="C321" s="105"/>
    </row>
    <row r="322" spans="1:3" x14ac:dyDescent="0.35">
      <c r="A322" s="106" t="s">
        <v>400</v>
      </c>
      <c r="B322" s="110">
        <v>44.85</v>
      </c>
      <c r="C322" s="110">
        <v>40.58</v>
      </c>
    </row>
    <row r="323" spans="1:3" x14ac:dyDescent="0.35">
      <c r="A323" s="108" t="s">
        <v>401</v>
      </c>
      <c r="B323" s="110">
        <v>46.47</v>
      </c>
      <c r="C323" s="110">
        <v>43.48</v>
      </c>
    </row>
    <row r="324" spans="1:3" x14ac:dyDescent="0.35">
      <c r="A324" s="108" t="s">
        <v>482</v>
      </c>
      <c r="B324" s="110">
        <v>1.61</v>
      </c>
      <c r="C324" s="110">
        <v>2.89</v>
      </c>
    </row>
    <row r="325" spans="1:3" x14ac:dyDescent="0.35">
      <c r="A325" s="104" t="s">
        <v>82</v>
      </c>
      <c r="B325" s="105"/>
      <c r="C325" s="105"/>
    </row>
    <row r="326" spans="1:3" x14ac:dyDescent="0.35">
      <c r="A326" s="106" t="s">
        <v>405</v>
      </c>
      <c r="B326" s="110">
        <v>46.47</v>
      </c>
      <c r="C326" s="110">
        <v>43.48</v>
      </c>
    </row>
    <row r="327" spans="1:3" ht="26" x14ac:dyDescent="0.35">
      <c r="A327" s="106" t="s">
        <v>406</v>
      </c>
      <c r="B327" s="107">
        <v>6306.56</v>
      </c>
      <c r="C327" s="107">
        <v>6458.74</v>
      </c>
    </row>
    <row r="328" spans="1:3" x14ac:dyDescent="0.35">
      <c r="A328" s="106" t="s">
        <v>407</v>
      </c>
      <c r="B328" s="107">
        <v>5818.06</v>
      </c>
      <c r="C328" s="107">
        <v>6075.75</v>
      </c>
    </row>
    <row r="329" spans="1:3" x14ac:dyDescent="0.35">
      <c r="A329" s="106" t="s">
        <v>408</v>
      </c>
      <c r="B329" s="107">
        <v>237.24</v>
      </c>
      <c r="C329" s="107">
        <v>197.49</v>
      </c>
    </row>
    <row r="330" spans="1:3" x14ac:dyDescent="0.35">
      <c r="A330" s="106" t="s">
        <v>280</v>
      </c>
      <c r="B330" s="107">
        <v>7034.91</v>
      </c>
      <c r="C330" s="107">
        <v>7238.88</v>
      </c>
    </row>
    <row r="331" spans="1:3" ht="26" x14ac:dyDescent="0.35">
      <c r="A331" s="106" t="s">
        <v>70</v>
      </c>
      <c r="B331" s="107">
        <v>728.35</v>
      </c>
      <c r="C331" s="107">
        <v>780.14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O78"/>
  <sheetViews>
    <sheetView topLeftCell="B1" zoomScale="80" workbookViewId="0">
      <selection activeCell="I7" sqref="I7"/>
    </sheetView>
  </sheetViews>
  <sheetFormatPr defaultRowHeight="14.5" x14ac:dyDescent="0.35"/>
  <cols>
    <col min="2" max="2" width="46" customWidth="1"/>
    <col min="3" max="7" width="20.6328125" customWidth="1"/>
    <col min="11" max="11" width="46" customWidth="1"/>
    <col min="12" max="15" width="20.6328125" customWidth="1"/>
  </cols>
  <sheetData>
    <row r="2" spans="2:15" x14ac:dyDescent="0.35">
      <c r="C2" s="68" t="s">
        <v>86</v>
      </c>
      <c r="D2" s="68" t="str">
        <f>L2</f>
        <v>NVIDIA</v>
      </c>
      <c r="E2" s="68" t="str">
        <f t="shared" ref="E2:F2" si="0">M2</f>
        <v>Intel</v>
      </c>
      <c r="F2" s="68" t="str">
        <f t="shared" si="0"/>
        <v>Broadcom</v>
      </c>
      <c r="G2" s="68" t="str">
        <f>O2</f>
        <v>Micron</v>
      </c>
      <c r="L2" s="65" t="s">
        <v>559</v>
      </c>
      <c r="M2" s="65" t="s">
        <v>560</v>
      </c>
      <c r="N2" s="65" t="s">
        <v>561</v>
      </c>
      <c r="O2" s="65" t="s">
        <v>562</v>
      </c>
    </row>
    <row r="3" spans="2:15" x14ac:dyDescent="0.35">
      <c r="K3" s="60"/>
      <c r="L3" s="60"/>
      <c r="M3" s="60"/>
      <c r="N3" s="60"/>
      <c r="O3" s="60"/>
    </row>
    <row r="4" spans="2:15" x14ac:dyDescent="0.35">
      <c r="B4" s="74" t="s">
        <v>8</v>
      </c>
      <c r="C4" s="74"/>
      <c r="D4" s="68" t="s">
        <v>92</v>
      </c>
      <c r="E4" s="68" t="s">
        <v>92</v>
      </c>
      <c r="F4" s="68" t="s">
        <v>92</v>
      </c>
      <c r="G4" s="68" t="s">
        <v>92</v>
      </c>
      <c r="K4" s="74" t="s">
        <v>8</v>
      </c>
      <c r="L4" s="87">
        <v>2025</v>
      </c>
      <c r="M4" s="87">
        <v>2025</v>
      </c>
      <c r="N4" s="87">
        <v>2025</v>
      </c>
      <c r="O4" s="87">
        <v>2025</v>
      </c>
    </row>
    <row r="5" spans="2:15" x14ac:dyDescent="0.35">
      <c r="B5" s="75"/>
      <c r="C5" s="75"/>
      <c r="D5" s="69"/>
      <c r="E5" s="69"/>
      <c r="F5" s="69"/>
      <c r="G5" s="69"/>
      <c r="K5" s="75"/>
      <c r="L5" s="69"/>
      <c r="M5" s="69"/>
      <c r="N5" s="69"/>
      <c r="O5" s="69"/>
    </row>
    <row r="6" spans="2:15" x14ac:dyDescent="0.35">
      <c r="B6" s="76" t="s">
        <v>12</v>
      </c>
      <c r="C6" s="82">
        <f t="shared" ref="C6:C11" ca="1" si="1">IFERROR(AVERAGE(D6:G6),0)</f>
        <v>8.8860134052762496E-2</v>
      </c>
      <c r="D6" s="82">
        <f ca="1">IFERROR(L6/L$18,0)</f>
        <v>7.6961675970645418E-2</v>
      </c>
      <c r="E6" s="82">
        <f ca="1">IFERROR(M6/M$18,0)</f>
        <v>6.7469457832180071E-2</v>
      </c>
      <c r="F6" s="82">
        <f ca="1">IFERROR(N6/N$18,0)</f>
        <v>9.4557314193533304E-2</v>
      </c>
      <c r="G6" s="82">
        <f ca="1">IFERROR(O6/O$18,0)</f>
        <v>0.11645208821469118</v>
      </c>
      <c r="I6" s="4"/>
      <c r="K6" s="76" t="s">
        <v>12</v>
      </c>
      <c r="L6" s="70">
        <f ca="1">SUMIF(INDIRECT("'"&amp;L$2&amp;"'!$A$1:$A$500"),$K6,INDIRECT("'"&amp;L$2&amp;"'!$C$1:$C$500"))</f>
        <v>8589</v>
      </c>
      <c r="M6" s="70">
        <f t="shared" ref="M6:O9" ca="1" si="2">SUMIF(INDIRECT("'"&amp;M$2&amp;"'!$A$1:$A$500"),$K6,INDIRECT("'"&amp;M$2&amp;"'!$C$1:$C$500"))</f>
        <v>14265</v>
      </c>
      <c r="N6" s="70">
        <f t="shared" ca="1" si="2"/>
        <v>16178</v>
      </c>
      <c r="O6" s="70">
        <f t="shared" ca="1" si="2"/>
        <v>9642</v>
      </c>
    </row>
    <row r="7" spans="2:15" x14ac:dyDescent="0.35">
      <c r="B7" s="76" t="s">
        <v>14</v>
      </c>
      <c r="C7" s="82">
        <f t="shared" ca="1" si="1"/>
        <v>0.10693764514022133</v>
      </c>
      <c r="D7" s="82">
        <f t="shared" ref="D7:F33" ca="1" si="3">IFERROR(L7/L$18,0)</f>
        <v>0.3102212345767511</v>
      </c>
      <c r="E7" s="82">
        <f t="shared" ref="E7:F11" ca="1" si="4">IFERROR(M7/M$18,0)</f>
        <v>0.10949775101807226</v>
      </c>
      <c r="F7" s="82">
        <f t="shared" ca="1" si="4"/>
        <v>0</v>
      </c>
      <c r="G7" s="82">
        <f ca="1">IFERROR(O7/O$18,0)</f>
        <v>8.0315949660619817E-3</v>
      </c>
      <c r="I7" s="4"/>
      <c r="K7" s="76" t="s">
        <v>14</v>
      </c>
      <c r="L7" s="70">
        <f ca="1">SUMIF(INDIRECT("'"&amp;L$2&amp;"'!$A$1:$A$500"),$K7,INDIRECT("'"&amp;L$2&amp;"'!$C$1:$C$500"))</f>
        <v>34621</v>
      </c>
      <c r="M7" s="70">
        <f t="shared" ca="1" si="2"/>
        <v>23151</v>
      </c>
      <c r="N7" s="70">
        <f t="shared" ca="1" si="2"/>
        <v>0</v>
      </c>
      <c r="O7" s="70">
        <f t="shared" ca="1" si="2"/>
        <v>665</v>
      </c>
    </row>
    <row r="8" spans="2:15" x14ac:dyDescent="0.35">
      <c r="B8" s="76" t="s">
        <v>16</v>
      </c>
      <c r="C8" s="82">
        <f t="shared" ca="1" si="1"/>
        <v>8.8276020045693029E-2</v>
      </c>
      <c r="D8" s="82">
        <f ca="1">IFERROR(L8/L$18,0)</f>
        <v>0.20667377532459386</v>
      </c>
      <c r="E8" s="82">
        <f t="shared" ca="1" si="4"/>
        <v>1.8157395626900757E-2</v>
      </c>
      <c r="F8" s="82">
        <f t="shared" ca="1" si="4"/>
        <v>4.1761157739695604E-2</v>
      </c>
      <c r="G8" s="82">
        <f ca="1">IFERROR(O8/O$18,0)</f>
        <v>8.6511751491581926E-2</v>
      </c>
      <c r="I8" s="4"/>
      <c r="K8" s="76" t="s">
        <v>16</v>
      </c>
      <c r="L8" s="70">
        <f ca="1">SUMIF(INDIRECT("'"&amp;L$2&amp;"'!$A$1:$A$500"),$K8,INDIRECT("'"&amp;L$2&amp;"'!$C$1:$C$500"))</f>
        <v>23065</v>
      </c>
      <c r="M8" s="70">
        <f t="shared" ca="1" si="2"/>
        <v>3839</v>
      </c>
      <c r="N8" s="70">
        <f t="shared" ca="1" si="2"/>
        <v>7145</v>
      </c>
      <c r="O8" s="70">
        <f t="shared" ca="1" si="2"/>
        <v>7163</v>
      </c>
    </row>
    <row r="9" spans="2:15" x14ac:dyDescent="0.35">
      <c r="B9" s="76" t="s">
        <v>18</v>
      </c>
      <c r="C9" s="82">
        <f t="shared" ca="1" si="1"/>
        <v>6.4861902509698047E-2</v>
      </c>
      <c r="D9" s="82">
        <f t="shared" ca="1" si="3"/>
        <v>9.0321771310292925E-2</v>
      </c>
      <c r="E9" s="82">
        <f t="shared" ca="1" si="4"/>
        <v>5.4949888615090647E-2</v>
      </c>
      <c r="F9" s="82">
        <f t="shared" ca="1" si="4"/>
        <v>1.3267715614990766E-2</v>
      </c>
      <c r="G9" s="82">
        <f ca="1">IFERROR(O9/O$18,0)</f>
        <v>0.10090823449841783</v>
      </c>
      <c r="I9" s="4"/>
      <c r="K9" s="76" t="s">
        <v>18</v>
      </c>
      <c r="L9" s="70">
        <f ca="1">SUMIF(INDIRECT("'"&amp;L$2&amp;"'!$A$1:$A$500"),$K9,INDIRECT("'"&amp;L$2&amp;"'!$C$1:$C$500"))</f>
        <v>10080</v>
      </c>
      <c r="M9" s="70">
        <f t="shared" ca="1" si="2"/>
        <v>11618</v>
      </c>
      <c r="N9" s="70">
        <f t="shared" ca="1" si="2"/>
        <v>2270</v>
      </c>
      <c r="O9" s="70">
        <f t="shared" ca="1" si="2"/>
        <v>8355</v>
      </c>
    </row>
    <row r="10" spans="2:15" x14ac:dyDescent="0.35">
      <c r="B10" s="76" t="s">
        <v>20</v>
      </c>
      <c r="C10" s="82">
        <f t="shared" ca="1" si="1"/>
        <v>3.9079974861097912E-2</v>
      </c>
      <c r="D10" s="82">
        <f t="shared" ca="1" si="3"/>
        <v>3.379001980268994E-2</v>
      </c>
      <c r="E10" s="82">
        <f t="shared" ca="1" si="4"/>
        <v>5.1151923340695932E-2</v>
      </c>
      <c r="F10" s="82">
        <f t="shared" ca="1" si="4"/>
        <v>3.4951955672971269E-2</v>
      </c>
      <c r="G10" s="82">
        <f ca="1">IFERROR(O10/O$18,0)</f>
        <v>3.6426000628034493E-2</v>
      </c>
      <c r="I10" s="4"/>
      <c r="K10" s="76" t="s">
        <v>20</v>
      </c>
      <c r="L10" s="78">
        <f ca="1">SUMIF(INDIRECT("'"&amp;L$2&amp;"'!$A$1:$A$500"),$K11,INDIRECT("'"&amp;L$2&amp;"'!$C$1:$C$500"))-SUM(L6:L9)</f>
        <v>3771</v>
      </c>
      <c r="M10" s="78">
        <f t="shared" ref="M10:O10" ca="1" si="5">SUMIF(INDIRECT("'"&amp;M$2&amp;"'!$A$1:$A$500"),$K11,INDIRECT("'"&amp;M$2&amp;"'!$C$1:$C$500"))-SUM(M6:M9)</f>
        <v>10815</v>
      </c>
      <c r="N10" s="78">
        <f t="shared" ca="1" si="5"/>
        <v>5980</v>
      </c>
      <c r="O10" s="78">
        <f t="shared" ca="1" si="5"/>
        <v>3016</v>
      </c>
    </row>
    <row r="11" spans="2:15" x14ac:dyDescent="0.35">
      <c r="B11" s="77" t="s">
        <v>22</v>
      </c>
      <c r="C11" s="81">
        <f t="shared" ca="1" si="1"/>
        <v>0.38801567660947284</v>
      </c>
      <c r="D11" s="81">
        <f ca="1">IFERROR(L11/L$18,0)</f>
        <v>0.71796847698497324</v>
      </c>
      <c r="E11" s="81">
        <f t="shared" ca="1" si="4"/>
        <v>0.30122641643293968</v>
      </c>
      <c r="F11" s="81">
        <f t="shared" ca="1" si="4"/>
        <v>0.18453814322119094</v>
      </c>
      <c r="G11" s="81">
        <f ca="1">IFERROR(O11/O$18,0)</f>
        <v>0.34832966979878743</v>
      </c>
      <c r="I11" s="5"/>
      <c r="K11" s="77" t="s">
        <v>22</v>
      </c>
      <c r="L11" s="73">
        <f ca="1">SUM(L6:L10)</f>
        <v>80126</v>
      </c>
      <c r="M11" s="73">
        <f t="shared" ref="M11:O11" ca="1" si="6">SUM(M6:M10)</f>
        <v>63688</v>
      </c>
      <c r="N11" s="73">
        <f t="shared" ca="1" si="6"/>
        <v>31573</v>
      </c>
      <c r="O11" s="73">
        <f t="shared" ca="1" si="6"/>
        <v>28841</v>
      </c>
    </row>
    <row r="12" spans="2:15" x14ac:dyDescent="0.35">
      <c r="B12" s="75"/>
      <c r="C12" s="83"/>
      <c r="D12" s="83"/>
      <c r="E12" s="83"/>
      <c r="F12" s="83"/>
      <c r="G12" s="83"/>
      <c r="K12" s="131" t="s">
        <v>782</v>
      </c>
      <c r="L12" s="132">
        <f ca="1">ROUND(SUMIF(INDIRECT("'"&amp;L$2&amp;"'!$A$1:$A$500"),$K$11,INDIRECT("'"&amp;L$2&amp;"'!$C$1:$C$500"))-L11,2)</f>
        <v>0</v>
      </c>
      <c r="M12" s="132">
        <f t="shared" ref="M12:O12" ca="1" si="7">ROUND(SUMIF(INDIRECT("'"&amp;M$2&amp;"'!$A$1:$A$500"),$K$11,INDIRECT("'"&amp;M$2&amp;"'!$C$1:$C$500"))-M11,2)</f>
        <v>0</v>
      </c>
      <c r="N12" s="132">
        <f t="shared" ca="1" si="7"/>
        <v>0</v>
      </c>
      <c r="O12" s="132">
        <f t="shared" ca="1" si="7"/>
        <v>0</v>
      </c>
    </row>
    <row r="13" spans="2:15" x14ac:dyDescent="0.35">
      <c r="B13" s="76" t="s">
        <v>25</v>
      </c>
      <c r="C13" s="82">
        <f t="shared" ref="C13:C33" ca="1" si="8">IFERROR(AVERAGE(D13:G13),0)</f>
        <v>2.2570739135575304E-2</v>
      </c>
      <c r="D13" s="82">
        <f t="shared" ca="1" si="3"/>
        <v>3.0349190419440685E-2</v>
      </c>
      <c r="E13" s="82">
        <f t="shared" ca="1" si="3"/>
        <v>4.0259377852612459E-2</v>
      </c>
      <c r="F13" s="82">
        <f t="shared" ca="1" si="3"/>
        <v>0</v>
      </c>
      <c r="G13" s="82">
        <f t="shared" ref="G13:G18" ca="1" si="9">IFERROR(O13/O$18,0)</f>
        <v>1.9674388270248075E-2</v>
      </c>
      <c r="K13" s="76" t="s">
        <v>25</v>
      </c>
      <c r="L13" s="70">
        <f ca="1">SUMIF(INDIRECT("'"&amp;L$2&amp;"'!$A$1:$A$500"),$K13,INDIRECT("'"&amp;L$2&amp;"'!$C$1:$C$500"))</f>
        <v>3387</v>
      </c>
      <c r="M13" s="70">
        <f t="shared" ref="M13:O15" ca="1" si="10">SUMIF(INDIRECT("'"&amp;M$2&amp;"'!$A$1:$A$500"),$K13,INDIRECT("'"&amp;M$2&amp;"'!$C$1:$C$500"))</f>
        <v>8512</v>
      </c>
      <c r="N13" s="70">
        <f t="shared" ca="1" si="10"/>
        <v>0</v>
      </c>
      <c r="O13" s="70">
        <f t="shared" ca="1" si="10"/>
        <v>1629</v>
      </c>
    </row>
    <row r="14" spans="2:15" x14ac:dyDescent="0.35">
      <c r="B14" s="76" t="s">
        <v>27</v>
      </c>
      <c r="C14" s="82">
        <f ca="1">IFERROR(AVERAGE(D14:G14),0)</f>
        <v>0.29175238814413529</v>
      </c>
      <c r="D14" s="82">
        <f t="shared" ca="1" si="3"/>
        <v>7.2364942966460871E-2</v>
      </c>
      <c r="E14" s="82">
        <f t="shared" ca="1" si="3"/>
        <v>0.50056993127716631</v>
      </c>
      <c r="F14" s="82">
        <f t="shared" ca="1" si="3"/>
        <v>2.2490823650433686E-2</v>
      </c>
      <c r="G14" s="82">
        <f t="shared" ca="1" si="9"/>
        <v>0.5715838546824803</v>
      </c>
      <c r="K14" s="76" t="s">
        <v>27</v>
      </c>
      <c r="L14" s="70">
        <f ca="1">SUMIF(INDIRECT("'"&amp;L$2&amp;"'!$A$1:$A$500"),$K14,INDIRECT("'"&amp;L$2&amp;"'!$C$1:$C$500"))</f>
        <v>8076</v>
      </c>
      <c r="M14" s="70">
        <f t="shared" ca="1" si="10"/>
        <v>105835</v>
      </c>
      <c r="N14" s="70">
        <f t="shared" ca="1" si="10"/>
        <v>3848</v>
      </c>
      <c r="O14" s="70">
        <f t="shared" ca="1" si="10"/>
        <v>47326</v>
      </c>
    </row>
    <row r="15" spans="2:15" x14ac:dyDescent="0.35">
      <c r="B15" s="76" t="s">
        <v>29</v>
      </c>
      <c r="C15" s="82">
        <f t="shared" ca="1" si="8"/>
        <v>0.23988600477926769</v>
      </c>
      <c r="D15" s="82">
        <f t="shared" ca="1" si="3"/>
        <v>5.3718156647341871E-2</v>
      </c>
      <c r="E15" s="82">
        <f t="shared" ca="1" si="3"/>
        <v>0.12620785228138051</v>
      </c>
      <c r="F15" s="82">
        <f t="shared" ca="1" si="3"/>
        <v>0.76025763916489375</v>
      </c>
      <c r="G15" s="82">
        <f t="shared" ca="1" si="9"/>
        <v>1.9360371023454673E-2</v>
      </c>
      <c r="K15" s="76" t="s">
        <v>29</v>
      </c>
      <c r="L15" s="70">
        <f ca="1">SUMIF(INDIRECT("'"&amp;L$2&amp;"'!$A$1:$A$500"),$K15,INDIRECT("'"&amp;L$2&amp;"'!$C$1:$C$500"))</f>
        <v>5995</v>
      </c>
      <c r="M15" s="70">
        <f t="shared" ca="1" si="10"/>
        <v>26684</v>
      </c>
      <c r="N15" s="70">
        <f t="shared" ca="1" si="10"/>
        <v>130074</v>
      </c>
      <c r="O15" s="70">
        <f t="shared" ca="1" si="10"/>
        <v>1603</v>
      </c>
    </row>
    <row r="16" spans="2:15" x14ac:dyDescent="0.35">
      <c r="B16" s="76" t="s">
        <v>31</v>
      </c>
      <c r="C16" s="82">
        <f t="shared" ca="1" si="8"/>
        <v>5.7775191331548896E-2</v>
      </c>
      <c r="D16" s="82">
        <f t="shared" ca="1" si="3"/>
        <v>0.12559923298178333</v>
      </c>
      <c r="E16" s="82">
        <f t="shared" ca="1" si="3"/>
        <v>3.1736422155901035E-2</v>
      </c>
      <c r="F16" s="82">
        <f t="shared" ca="1" si="3"/>
        <v>3.2713393963481635E-2</v>
      </c>
      <c r="G16" s="82">
        <f t="shared" ca="1" si="9"/>
        <v>4.1051716225029587E-2</v>
      </c>
      <c r="K16" s="76" t="s">
        <v>31</v>
      </c>
      <c r="L16" s="78">
        <f ca="1">SUMIF(INDIRECT("'"&amp;L$2&amp;"'!$A$1:$A$500"),$K17,INDIRECT("'"&amp;L$2&amp;"'!$C$1:$C$500"))-SUM(L12:L15)</f>
        <v>14017</v>
      </c>
      <c r="M16" s="78">
        <f t="shared" ref="M16:O16" ca="1" si="11">SUMIF(INDIRECT("'"&amp;M$2&amp;"'!$A$1:$A$500"),$K17,INDIRECT("'"&amp;M$2&amp;"'!$C$1:$C$500"))-SUM(M12:M15)</f>
        <v>6710</v>
      </c>
      <c r="N16" s="78">
        <f t="shared" ca="1" si="11"/>
        <v>5597</v>
      </c>
      <c r="O16" s="78">
        <f t="shared" ca="1" si="11"/>
        <v>3399</v>
      </c>
    </row>
    <row r="17" spans="2:15" x14ac:dyDescent="0.35">
      <c r="B17" s="77" t="s">
        <v>33</v>
      </c>
      <c r="C17" s="81">
        <f t="shared" ca="1" si="8"/>
        <v>0.61198432339052711</v>
      </c>
      <c r="D17" s="81">
        <f t="shared" ca="1" si="3"/>
        <v>0.28203152301502676</v>
      </c>
      <c r="E17" s="81">
        <f t="shared" ca="1" si="3"/>
        <v>0.69877358356706032</v>
      </c>
      <c r="F17" s="81">
        <f t="shared" ca="1" si="3"/>
        <v>0.81546185677880911</v>
      </c>
      <c r="G17" s="81">
        <f t="shared" ca="1" si="9"/>
        <v>0.65167033020121257</v>
      </c>
      <c r="K17" s="77" t="s">
        <v>33</v>
      </c>
      <c r="L17" s="73">
        <f ca="1">SUM(L13:L16)</f>
        <v>31475</v>
      </c>
      <c r="M17" s="73">
        <f t="shared" ref="M17:O17" ca="1" si="12">SUM(M13:M16)</f>
        <v>147741</v>
      </c>
      <c r="N17" s="73">
        <f t="shared" ca="1" si="12"/>
        <v>139519</v>
      </c>
      <c r="O17" s="73">
        <f t="shared" ca="1" si="12"/>
        <v>53957</v>
      </c>
    </row>
    <row r="18" spans="2:15" x14ac:dyDescent="0.35">
      <c r="B18" s="77" t="s">
        <v>35</v>
      </c>
      <c r="C18" s="81">
        <f t="shared" ca="1" si="8"/>
        <v>1</v>
      </c>
      <c r="D18" s="81">
        <f t="shared" ca="1" si="3"/>
        <v>1</v>
      </c>
      <c r="E18" s="81">
        <f t="shared" ca="1" si="3"/>
        <v>1</v>
      </c>
      <c r="F18" s="81">
        <f t="shared" ca="1" si="3"/>
        <v>1</v>
      </c>
      <c r="G18" s="81">
        <f t="shared" ca="1" si="9"/>
        <v>1</v>
      </c>
      <c r="K18" s="77" t="s">
        <v>35</v>
      </c>
      <c r="L18" s="73">
        <f ca="1">L17+L11</f>
        <v>111601</v>
      </c>
      <c r="M18" s="73">
        <f t="shared" ref="M18:O18" ca="1" si="13">M17+M11</f>
        <v>211429</v>
      </c>
      <c r="N18" s="73">
        <f t="shared" ca="1" si="13"/>
        <v>171092</v>
      </c>
      <c r="O18" s="73">
        <f t="shared" ca="1" si="13"/>
        <v>82798</v>
      </c>
    </row>
    <row r="19" spans="2:15" x14ac:dyDescent="0.35">
      <c r="B19" s="75"/>
      <c r="C19" s="83"/>
      <c r="D19" s="83"/>
      <c r="E19" s="83"/>
      <c r="F19" s="83"/>
      <c r="G19" s="83"/>
      <c r="K19" s="131" t="s">
        <v>783</v>
      </c>
      <c r="L19" s="132">
        <f ca="1">ROUND(SUMIF(INDIRECT("'"&amp;L$2&amp;"'!$A$1:$A$500"),$K$18,INDIRECT("'"&amp;L$2&amp;"'!$C$1:$C$500"))-L18,2)</f>
        <v>0</v>
      </c>
      <c r="M19" s="132">
        <f t="shared" ref="M19:O19" ca="1" si="14">ROUND(SUMIF(INDIRECT("'"&amp;M$2&amp;"'!$A$1:$A$500"),$K$18,INDIRECT("'"&amp;M$2&amp;"'!$C$1:$C$500"))-M18,2)</f>
        <v>0</v>
      </c>
      <c r="N19" s="132">
        <f t="shared" ca="1" si="14"/>
        <v>0</v>
      </c>
      <c r="O19" s="132">
        <f t="shared" ca="1" si="14"/>
        <v>0</v>
      </c>
    </row>
    <row r="20" spans="2:15" x14ac:dyDescent="0.35">
      <c r="B20" s="76" t="s">
        <v>37</v>
      </c>
      <c r="C20" s="82">
        <f t="shared" ca="1" si="8"/>
        <v>3.8486151299131383E-2</v>
      </c>
      <c r="D20" s="82">
        <f t="shared" ca="1" si="3"/>
        <v>5.6540712000788522E-2</v>
      </c>
      <c r="E20" s="82">
        <f t="shared" ca="1" si="3"/>
        <v>4.6739094447781522E-2</v>
      </c>
      <c r="F20" s="82">
        <f t="shared" ca="1" si="3"/>
        <v>9.117901479905547E-3</v>
      </c>
      <c r="G20" s="82">
        <f ca="1">IFERROR(O20/O$18,0)</f>
        <v>4.154689726804995E-2</v>
      </c>
      <c r="K20" s="76" t="s">
        <v>37</v>
      </c>
      <c r="L20" s="70">
        <f ca="1">SUMIF(INDIRECT("'"&amp;L$2&amp;"'!$A$1:$A$500"),$K20,INDIRECT("'"&amp;L$2&amp;"'!$C$1:$C$500"))</f>
        <v>6310</v>
      </c>
      <c r="M20" s="70">
        <f t="shared" ref="M20:O21" ca="1" si="15">SUMIF(INDIRECT("'"&amp;M$2&amp;"'!$A$1:$A$500"),$K20,INDIRECT("'"&amp;M$2&amp;"'!$C$1:$C$500"))</f>
        <v>9882</v>
      </c>
      <c r="N20" s="70">
        <f t="shared" ca="1" si="15"/>
        <v>1560</v>
      </c>
      <c r="O20" s="70">
        <f t="shared" ca="1" si="15"/>
        <v>3440</v>
      </c>
    </row>
    <row r="21" spans="2:15" x14ac:dyDescent="0.35">
      <c r="B21" s="76" t="s">
        <v>39</v>
      </c>
      <c r="C21" s="82">
        <f t="shared" ca="1" si="8"/>
        <v>9.3649772496191934E-3</v>
      </c>
      <c r="D21" s="82">
        <f t="shared" ca="1" si="3"/>
        <v>0</v>
      </c>
      <c r="E21" s="82">
        <f t="shared" ca="1" si="3"/>
        <v>1.2273623769681549E-2</v>
      </c>
      <c r="F21" s="82">
        <f t="shared" ca="1" si="3"/>
        <v>1.8422836836321978E-2</v>
      </c>
      <c r="G21" s="82">
        <f ca="1">IFERROR(O21/O$18,0)</f>
        <v>6.7634483924732484E-3</v>
      </c>
      <c r="K21" s="76" t="s">
        <v>39</v>
      </c>
      <c r="L21" s="70">
        <f ca="1">SUMIF(INDIRECT("'"&amp;L$2&amp;"'!$A$1:$A$500"),$K21,INDIRECT("'"&amp;L$2&amp;"'!$C$1:$C$500"))</f>
        <v>0</v>
      </c>
      <c r="M21" s="70">
        <f t="shared" ca="1" si="15"/>
        <v>2595</v>
      </c>
      <c r="N21" s="70">
        <f t="shared" ca="1" si="15"/>
        <v>3152</v>
      </c>
      <c r="O21" s="70">
        <f t="shared" ca="1" si="15"/>
        <v>560</v>
      </c>
    </row>
    <row r="22" spans="2:15" x14ac:dyDescent="0.35">
      <c r="B22" s="76" t="s">
        <v>41</v>
      </c>
      <c r="C22" s="82">
        <f t="shared" ca="1" si="8"/>
        <v>9.1548470450102823E-2</v>
      </c>
      <c r="D22" s="82">
        <f t="shared" ca="1" si="3"/>
        <v>0.10516930851874087</v>
      </c>
      <c r="E22" s="82">
        <f t="shared" ca="1" si="3"/>
        <v>9.0328195280685239E-2</v>
      </c>
      <c r="F22" s="82">
        <f t="shared" ca="1" si="3"/>
        <v>8.0670048862600235E-2</v>
      </c>
      <c r="G22" s="82">
        <f ca="1">IFERROR(O22/O$18,0)</f>
        <v>9.0026329138384986E-2</v>
      </c>
      <c r="K22" s="76" t="s">
        <v>41</v>
      </c>
      <c r="L22" s="78">
        <f ca="1">SUMIF(INDIRECT("'"&amp;L$2&amp;"'!$A$1:$A$500"),$K23,INDIRECT("'"&amp;L$2&amp;"'!$C$1:$C$500"))-SUM(L20:L21)</f>
        <v>11737</v>
      </c>
      <c r="M22" s="78">
        <f t="shared" ref="M22:O22" ca="1" si="16">SUMIF(INDIRECT("'"&amp;M$2&amp;"'!$A$1:$A$500"),$K23,INDIRECT("'"&amp;M$2&amp;"'!$C$1:$C$500"))-SUM(M20:M21)</f>
        <v>19098</v>
      </c>
      <c r="N22" s="78">
        <f t="shared" ca="1" si="16"/>
        <v>13802</v>
      </c>
      <c r="O22" s="78">
        <f t="shared" ca="1" si="16"/>
        <v>7454</v>
      </c>
    </row>
    <row r="23" spans="2:15" x14ac:dyDescent="0.35">
      <c r="B23" s="77" t="s">
        <v>43</v>
      </c>
      <c r="C23" s="81">
        <f t="shared" ca="1" si="8"/>
        <v>0.1393995989988534</v>
      </c>
      <c r="D23" s="81">
        <f t="shared" ca="1" si="3"/>
        <v>0.1617100205195294</v>
      </c>
      <c r="E23" s="81">
        <f t="shared" ca="1" si="3"/>
        <v>0.14934091349814832</v>
      </c>
      <c r="F23" s="81">
        <f t="shared" ca="1" si="3"/>
        <v>0.10821078717882776</v>
      </c>
      <c r="G23" s="81">
        <f ca="1">IFERROR(O23/O$18,0)</f>
        <v>0.13833667479890818</v>
      </c>
      <c r="K23" s="77" t="s">
        <v>43</v>
      </c>
      <c r="L23" s="73">
        <f ca="1">SUM(L20:L22)</f>
        <v>18047</v>
      </c>
      <c r="M23" s="73">
        <f t="shared" ref="M23:O23" ca="1" si="17">SUM(M20:M22)</f>
        <v>31575</v>
      </c>
      <c r="N23" s="73">
        <f t="shared" ca="1" si="17"/>
        <v>18514</v>
      </c>
      <c r="O23" s="73">
        <f t="shared" ca="1" si="17"/>
        <v>11454</v>
      </c>
    </row>
    <row r="24" spans="2:15" x14ac:dyDescent="0.35">
      <c r="B24" s="75"/>
      <c r="C24" s="83"/>
      <c r="D24" s="83"/>
      <c r="E24" s="83"/>
      <c r="F24" s="83"/>
      <c r="G24" s="83"/>
      <c r="K24" s="131" t="s">
        <v>784</v>
      </c>
      <c r="L24" s="132">
        <f ca="1">ROUND(SUMIF(INDIRECT("'"&amp;L$2&amp;"'!$A$1:$A$500"),$K$23,INDIRECT("'"&amp;L$2&amp;"'!$C$1:$C$500"))-L23,2)</f>
        <v>0</v>
      </c>
      <c r="M24" s="132">
        <f t="shared" ref="M24:O24" ca="1" si="18">ROUND(SUMIF(INDIRECT("'"&amp;M$2&amp;"'!$A$1:$A$500"),$K$23,INDIRECT("'"&amp;M$2&amp;"'!$C$1:$C$500"))-M23,2)</f>
        <v>0</v>
      </c>
      <c r="N24" s="132">
        <f t="shared" ca="1" si="18"/>
        <v>0</v>
      </c>
      <c r="O24" s="132">
        <f t="shared" ca="1" si="18"/>
        <v>0</v>
      </c>
    </row>
    <row r="25" spans="2:15" x14ac:dyDescent="0.35">
      <c r="B25" s="76" t="s">
        <v>45</v>
      </c>
      <c r="C25" s="82">
        <f t="shared" ca="1" si="8"/>
        <v>0.20402456081436543</v>
      </c>
      <c r="D25" s="82">
        <f t="shared" ca="1" si="3"/>
        <v>7.5832653829266766E-2</v>
      </c>
      <c r="E25" s="82">
        <f t="shared" ca="1" si="3"/>
        <v>0.20868944184572599</v>
      </c>
      <c r="F25" s="82">
        <f t="shared" ca="1" si="3"/>
        <v>0.36228461880158042</v>
      </c>
      <c r="G25" s="82">
        <f ca="1">IFERROR(O25/O$18,0)</f>
        <v>0.16929152878088843</v>
      </c>
      <c r="K25" s="76" t="s">
        <v>45</v>
      </c>
      <c r="L25" s="70">
        <f ca="1">SUMIF(INDIRECT("'"&amp;L$2&amp;"'!$A$1:$A$500"),$K25,INDIRECT("'"&amp;L$2&amp;"'!$C$1:$C$500"))</f>
        <v>8463</v>
      </c>
      <c r="M25" s="70">
        <f t="shared" ref="M25:O25" ca="1" si="19">SUMIF(INDIRECT("'"&amp;M$2&amp;"'!$A$1:$A$500"),$K25,INDIRECT("'"&amp;M$2&amp;"'!$C$1:$C$500"))</f>
        <v>44123</v>
      </c>
      <c r="N25" s="70">
        <f t="shared" ca="1" si="19"/>
        <v>61984</v>
      </c>
      <c r="O25" s="70">
        <f t="shared" ca="1" si="19"/>
        <v>14017</v>
      </c>
    </row>
    <row r="26" spans="2:15" x14ac:dyDescent="0.35">
      <c r="B26" s="76" t="s">
        <v>47</v>
      </c>
      <c r="C26" s="82">
        <f t="shared" ca="1" si="8"/>
        <v>4.7132057099841695E-2</v>
      </c>
      <c r="D26" s="82">
        <f t="shared" ca="1" si="3"/>
        <v>5.164828272148099E-2</v>
      </c>
      <c r="E26" s="82">
        <f t="shared" ca="1" si="3"/>
        <v>4.4322207454984885E-2</v>
      </c>
      <c r="F26" s="82">
        <f t="shared" ca="1" si="3"/>
        <v>5.4368409978257315E-2</v>
      </c>
      <c r="G26" s="82">
        <f ca="1">IFERROR(O26/O$18,0)</f>
        <v>3.8189328244643592E-2</v>
      </c>
      <c r="K26" s="76" t="s">
        <v>47</v>
      </c>
      <c r="L26" s="78">
        <f ca="1">SUMIF(INDIRECT("'"&amp;L$2&amp;"'!$A$1:$A$500"),$K27,INDIRECT("'"&amp;L$2&amp;"'!$C$1:$C$500"))-L25</f>
        <v>5764</v>
      </c>
      <c r="M26" s="78">
        <f t="shared" ref="M26:O26" ca="1" si="20">SUMIF(INDIRECT("'"&amp;M$2&amp;"'!$A$1:$A$500"),$K27,INDIRECT("'"&amp;M$2&amp;"'!$C$1:$C$500"))-M25</f>
        <v>9371</v>
      </c>
      <c r="N26" s="78">
        <f t="shared" ca="1" si="20"/>
        <v>9302</v>
      </c>
      <c r="O26" s="78">
        <f t="shared" ca="1" si="20"/>
        <v>3162</v>
      </c>
    </row>
    <row r="27" spans="2:15" x14ac:dyDescent="0.35">
      <c r="B27" s="77" t="s">
        <v>49</v>
      </c>
      <c r="C27" s="81">
        <f t="shared" ca="1" si="8"/>
        <v>0.25115661791420707</v>
      </c>
      <c r="D27" s="81">
        <f t="shared" ca="1" si="3"/>
        <v>0.12748093655074774</v>
      </c>
      <c r="E27" s="81">
        <f t="shared" ca="1" si="3"/>
        <v>0.25301164930071085</v>
      </c>
      <c r="F27" s="81">
        <f t="shared" ca="1" si="3"/>
        <v>0.41665302877983773</v>
      </c>
      <c r="G27" s="81">
        <f ca="1">IFERROR(O27/O$18,0)</f>
        <v>0.20748085702553201</v>
      </c>
      <c r="K27" s="77" t="s">
        <v>49</v>
      </c>
      <c r="L27" s="73">
        <f ca="1">SUM(L25:L26)</f>
        <v>14227</v>
      </c>
      <c r="M27" s="73">
        <f t="shared" ref="M27:O27" ca="1" si="21">SUM(M25:M26)</f>
        <v>53494</v>
      </c>
      <c r="N27" s="73">
        <f t="shared" ca="1" si="21"/>
        <v>71286</v>
      </c>
      <c r="O27" s="73">
        <f t="shared" ca="1" si="21"/>
        <v>17179</v>
      </c>
    </row>
    <row r="28" spans="2:15" x14ac:dyDescent="0.35">
      <c r="B28" s="77" t="s">
        <v>51</v>
      </c>
      <c r="C28" s="81">
        <f t="shared" ca="1" si="8"/>
        <v>0.39055621691306053</v>
      </c>
      <c r="D28" s="81">
        <f t="shared" ca="1" si="3"/>
        <v>0.28919095707027714</v>
      </c>
      <c r="E28" s="81">
        <f t="shared" ca="1" si="3"/>
        <v>0.40235256279885917</v>
      </c>
      <c r="F28" s="81">
        <f t="shared" ca="1" si="3"/>
        <v>0.52486381595866549</v>
      </c>
      <c r="G28" s="81">
        <f ca="1">IFERROR(O28/O$18,0)</f>
        <v>0.34581753182444019</v>
      </c>
      <c r="K28" s="77" t="s">
        <v>51</v>
      </c>
      <c r="L28" s="73">
        <f ca="1">SUM(L27,L23)</f>
        <v>32274</v>
      </c>
      <c r="M28" s="73">
        <f t="shared" ref="M28:O28" ca="1" si="22">SUM(M27,M23)</f>
        <v>85069</v>
      </c>
      <c r="N28" s="73">
        <f t="shared" ca="1" si="22"/>
        <v>89800</v>
      </c>
      <c r="O28" s="73">
        <f t="shared" ca="1" si="22"/>
        <v>28633</v>
      </c>
    </row>
    <row r="29" spans="2:15" x14ac:dyDescent="0.35">
      <c r="B29" s="75"/>
      <c r="C29" s="83"/>
      <c r="D29" s="83"/>
      <c r="E29" s="83"/>
      <c r="F29" s="83"/>
      <c r="G29" s="83"/>
      <c r="K29" s="131" t="s">
        <v>785</v>
      </c>
      <c r="L29" s="132">
        <f ca="1">ROUND(SUMIF(INDIRECT("'"&amp;L$2&amp;"'!$A$1:$A$500"),$K$28,INDIRECT("'"&amp;L$2&amp;"'!$C$1:$C$500"))-L28,2)</f>
        <v>0</v>
      </c>
      <c r="M29" s="132">
        <f t="shared" ref="M29:O29" ca="1" si="23">ROUND(SUMIF(INDIRECT("'"&amp;M$2&amp;"'!$A$1:$A$500"),$K$28,INDIRECT("'"&amp;M$2&amp;"'!$C$1:$C$500"))-M28,2)</f>
        <v>0</v>
      </c>
      <c r="N29" s="132">
        <f t="shared" ca="1" si="23"/>
        <v>0</v>
      </c>
      <c r="O29" s="132">
        <f t="shared" ca="1" si="23"/>
        <v>0</v>
      </c>
    </row>
    <row r="30" spans="2:15" x14ac:dyDescent="0.35">
      <c r="B30" s="76" t="s">
        <v>53</v>
      </c>
      <c r="C30" s="82">
        <f t="shared" ca="1" si="8"/>
        <v>0.59516121068674843</v>
      </c>
      <c r="D30" s="82">
        <f t="shared" ca="1" si="3"/>
        <v>0.7108090429297228</v>
      </c>
      <c r="E30" s="82">
        <f t="shared" ca="1" si="3"/>
        <v>0.5405171476003765</v>
      </c>
      <c r="F30" s="82">
        <f t="shared" ca="1" si="3"/>
        <v>0.47513618404133451</v>
      </c>
      <c r="G30" s="82">
        <f ca="1">IFERROR(O30/O$18,0)</f>
        <v>0.65418246817555981</v>
      </c>
      <c r="K30" s="76" t="s">
        <v>53</v>
      </c>
      <c r="L30" s="70">
        <f ca="1">SUMIF(INDIRECT("'"&amp;L$2&amp;"'!$A$1:$A$500"),$K30,INDIRECT("'"&amp;L$2&amp;"'!$C$1:$C$500"))</f>
        <v>79327</v>
      </c>
      <c r="M30" s="70">
        <f t="shared" ref="M30:O30" ca="1" si="24">SUMIF(INDIRECT("'"&amp;M$2&amp;"'!$A$1:$A$500"),$K30,INDIRECT("'"&amp;M$2&amp;"'!$C$1:$C$500"))</f>
        <v>114281</v>
      </c>
      <c r="N30" s="70">
        <f t="shared" ca="1" si="24"/>
        <v>81292</v>
      </c>
      <c r="O30" s="70">
        <f t="shared" ca="1" si="24"/>
        <v>54165</v>
      </c>
    </row>
    <row r="31" spans="2:15" x14ac:dyDescent="0.35">
      <c r="B31" s="76" t="s">
        <v>55</v>
      </c>
      <c r="C31" s="82">
        <f t="shared" ca="1" si="8"/>
        <v>1.428257240019108E-2</v>
      </c>
      <c r="D31" s="82">
        <f t="shared" ca="1" si="3"/>
        <v>0</v>
      </c>
      <c r="E31" s="82">
        <f t="shared" ca="1" si="3"/>
        <v>5.7130289600764321E-2</v>
      </c>
      <c r="F31" s="82">
        <f t="shared" ca="1" si="3"/>
        <v>0</v>
      </c>
      <c r="G31" s="82">
        <f ca="1">IFERROR(O31/O$18,0)</f>
        <v>0</v>
      </c>
      <c r="K31" s="76" t="s">
        <v>55</v>
      </c>
      <c r="L31" s="78">
        <f ca="1">SUMIF(INDIRECT("'"&amp;L$2&amp;"'!$A$1:$A$500"),$K32,INDIRECT("'"&amp;L$2&amp;"'!$C$1:$C$500"))-L30</f>
        <v>0</v>
      </c>
      <c r="M31" s="78">
        <f t="shared" ref="M31:O31" ca="1" si="25">SUMIF(INDIRECT("'"&amp;M$2&amp;"'!$A$1:$A$500"),$K32,INDIRECT("'"&amp;M$2&amp;"'!$C$1:$C$500"))-M30</f>
        <v>12079</v>
      </c>
      <c r="N31" s="78">
        <f t="shared" ca="1" si="25"/>
        <v>0</v>
      </c>
      <c r="O31" s="78">
        <f t="shared" ca="1" si="25"/>
        <v>0</v>
      </c>
    </row>
    <row r="32" spans="2:15" ht="29" x14ac:dyDescent="0.35">
      <c r="B32" s="77" t="s">
        <v>57</v>
      </c>
      <c r="C32" s="81">
        <f t="shared" ca="1" si="8"/>
        <v>0.60944378308693947</v>
      </c>
      <c r="D32" s="81">
        <f t="shared" ca="1" si="3"/>
        <v>0.7108090429297228</v>
      </c>
      <c r="E32" s="81">
        <f t="shared" ca="1" si="3"/>
        <v>0.59764743720114077</v>
      </c>
      <c r="F32" s="81">
        <f t="shared" ca="1" si="3"/>
        <v>0.47513618404133451</v>
      </c>
      <c r="G32" s="81">
        <f ca="1">IFERROR(O32/O$18,0)</f>
        <v>0.65418246817555981</v>
      </c>
      <c r="K32" s="77" t="s">
        <v>57</v>
      </c>
      <c r="L32" s="73">
        <f ca="1">SUM(L30:L31)</f>
        <v>79327</v>
      </c>
      <c r="M32" s="73">
        <f t="shared" ref="M32:O32" ca="1" si="26">SUM(M30:M31)</f>
        <v>126360</v>
      </c>
      <c r="N32" s="73">
        <f t="shared" ca="1" si="26"/>
        <v>81292</v>
      </c>
      <c r="O32" s="73">
        <f t="shared" ca="1" si="26"/>
        <v>54165</v>
      </c>
    </row>
    <row r="33" spans="2:15" x14ac:dyDescent="0.35">
      <c r="B33" s="77" t="s">
        <v>60</v>
      </c>
      <c r="C33" s="81">
        <f t="shared" ca="1" si="8"/>
        <v>1</v>
      </c>
      <c r="D33" s="81">
        <f t="shared" ca="1" si="3"/>
        <v>1</v>
      </c>
      <c r="E33" s="81">
        <f t="shared" ca="1" si="3"/>
        <v>1</v>
      </c>
      <c r="F33" s="81">
        <f t="shared" ca="1" si="3"/>
        <v>1</v>
      </c>
      <c r="G33" s="81">
        <f ca="1">IFERROR(O33/O$18,0)</f>
        <v>1</v>
      </c>
      <c r="K33" s="77" t="s">
        <v>60</v>
      </c>
      <c r="L33" s="73">
        <f ca="1">L32+L28</f>
        <v>111601</v>
      </c>
      <c r="M33" s="73">
        <f t="shared" ref="M33:O33" ca="1" si="27">M32+M28</f>
        <v>211429</v>
      </c>
      <c r="N33" s="73">
        <f t="shared" ca="1" si="27"/>
        <v>171092</v>
      </c>
      <c r="O33" s="73">
        <f t="shared" ca="1" si="27"/>
        <v>82798</v>
      </c>
    </row>
    <row r="34" spans="2:15" x14ac:dyDescent="0.35">
      <c r="B34" s="77" t="s">
        <v>93</v>
      </c>
      <c r="C34" s="81"/>
      <c r="D34" s="81"/>
      <c r="E34" s="81"/>
      <c r="F34" s="81"/>
      <c r="G34" s="81"/>
      <c r="K34" s="131" t="s">
        <v>786</v>
      </c>
      <c r="L34" s="132">
        <f ca="1">ROUND(L18-L33,2)</f>
        <v>0</v>
      </c>
      <c r="M34" s="132">
        <f t="shared" ref="M34:O34" ca="1" si="28">ROUND(M18-M33,2)</f>
        <v>0</v>
      </c>
      <c r="N34" s="132">
        <f t="shared" ca="1" si="28"/>
        <v>0</v>
      </c>
      <c r="O34" s="132">
        <f t="shared" ca="1" si="28"/>
        <v>0</v>
      </c>
    </row>
    <row r="35" spans="2:15" x14ac:dyDescent="0.35">
      <c r="B35" s="76"/>
      <c r="C35" s="84"/>
      <c r="D35" s="84"/>
      <c r="E35" s="84"/>
      <c r="F35" s="84"/>
      <c r="G35" s="84"/>
      <c r="K35" s="76"/>
      <c r="L35" s="71"/>
      <c r="M35" s="71"/>
      <c r="N35" s="71"/>
      <c r="O35" s="71"/>
    </row>
    <row r="36" spans="2:15" x14ac:dyDescent="0.35">
      <c r="B36" s="74" t="s">
        <v>62</v>
      </c>
      <c r="C36" s="85"/>
      <c r="D36" s="85"/>
      <c r="E36" s="85"/>
      <c r="F36" s="85"/>
      <c r="G36" s="85"/>
      <c r="K36" s="74" t="s">
        <v>62</v>
      </c>
      <c r="L36" s="87">
        <v>2025</v>
      </c>
      <c r="M36" s="87">
        <v>2025</v>
      </c>
      <c r="N36" s="87">
        <v>2025</v>
      </c>
      <c r="O36" s="87">
        <v>2025</v>
      </c>
    </row>
    <row r="37" spans="2:15" x14ac:dyDescent="0.35">
      <c r="B37" s="77" t="s">
        <v>64</v>
      </c>
      <c r="C37" s="81">
        <f t="shared" ref="C37:C52" ca="1" si="29">IFERROR(AVERAGE(D37:G37),0)</f>
        <v>1</v>
      </c>
      <c r="D37" s="81">
        <f ca="1">IFERROR(L37/L$37,0)</f>
        <v>1</v>
      </c>
      <c r="E37" s="81">
        <f t="shared" ref="E37:F52" ca="1" si="30">IFERROR(M37/M$37,0)</f>
        <v>1</v>
      </c>
      <c r="F37" s="81">
        <f t="shared" ca="1" si="30"/>
        <v>1</v>
      </c>
      <c r="G37" s="81">
        <f t="shared" ref="G37:G52" ca="1" si="31">IFERROR(O37/O$37,0)</f>
        <v>1</v>
      </c>
      <c r="K37" s="77" t="s">
        <v>64</v>
      </c>
      <c r="L37" s="72">
        <f ca="1">SUMIF(INDIRECT("'"&amp;L$2&amp;"'!$A$1:$A$500"),$K37,INDIRECT("'"&amp;L$2&amp;"'!$C$1:$C$500"))</f>
        <v>130497</v>
      </c>
      <c r="M37" s="72">
        <f t="shared" ref="M37:O38" ca="1" si="32">SUMIF(INDIRECT("'"&amp;M$2&amp;"'!$A$1:$A$500"),$K37,INDIRECT("'"&amp;M$2&amp;"'!$C$1:$C$500"))</f>
        <v>52853</v>
      </c>
      <c r="N37" s="72">
        <f t="shared" ca="1" si="32"/>
        <v>63887</v>
      </c>
      <c r="O37" s="72">
        <f t="shared" ca="1" si="32"/>
        <v>37378</v>
      </c>
    </row>
    <row r="38" spans="2:15" x14ac:dyDescent="0.35">
      <c r="B38" s="76" t="s">
        <v>66</v>
      </c>
      <c r="C38" s="82">
        <f t="shared" ca="1" si="29"/>
        <v>0.46436960921029879</v>
      </c>
      <c r="D38" s="82">
        <f t="shared" ref="D38:D52" ca="1" si="33">IFERROR(L38/L$37,0)</f>
        <v>0.25011302941830083</v>
      </c>
      <c r="E38" s="82">
        <f t="shared" ca="1" si="30"/>
        <v>0.65233761565095638</v>
      </c>
      <c r="F38" s="82">
        <f t="shared" ca="1" si="30"/>
        <v>0.35293565201058119</v>
      </c>
      <c r="G38" s="82">
        <f t="shared" ca="1" si="31"/>
        <v>0.60209213976135689</v>
      </c>
      <c r="K38" s="76" t="s">
        <v>281</v>
      </c>
      <c r="L38" s="70">
        <f ca="1">SUMIF(INDIRECT("'"&amp;L$2&amp;"'!$A$1:$A$500"),$K38,INDIRECT("'"&amp;L$2&amp;"'!$C$1:$C$500"))</f>
        <v>32639</v>
      </c>
      <c r="M38" s="70">
        <f t="shared" ca="1" si="32"/>
        <v>34478</v>
      </c>
      <c r="N38" s="70">
        <f t="shared" ca="1" si="32"/>
        <v>22548</v>
      </c>
      <c r="O38" s="70">
        <f t="shared" ca="1" si="32"/>
        <v>22505</v>
      </c>
    </row>
    <row r="39" spans="2:15" x14ac:dyDescent="0.35">
      <c r="B39" s="77" t="s">
        <v>68</v>
      </c>
      <c r="C39" s="81">
        <f t="shared" ca="1" si="29"/>
        <v>0.53563039078970109</v>
      </c>
      <c r="D39" s="81">
        <f t="shared" ca="1" si="33"/>
        <v>0.74988697058169917</v>
      </c>
      <c r="E39" s="81">
        <f t="shared" ca="1" si="30"/>
        <v>0.34766238434904356</v>
      </c>
      <c r="F39" s="81">
        <f t="shared" ca="1" si="30"/>
        <v>0.64706434798941881</v>
      </c>
      <c r="G39" s="81">
        <f t="shared" ca="1" si="31"/>
        <v>0.39790786023864305</v>
      </c>
      <c r="K39" s="77" t="s">
        <v>68</v>
      </c>
      <c r="L39" s="73">
        <f ca="1">L37-L38</f>
        <v>97858</v>
      </c>
      <c r="M39" s="73">
        <f t="shared" ref="M39:O39" ca="1" si="34">M37-M38</f>
        <v>18375</v>
      </c>
      <c r="N39" s="73">
        <f t="shared" ca="1" si="34"/>
        <v>41339</v>
      </c>
      <c r="O39" s="73">
        <f t="shared" ca="1" si="34"/>
        <v>14873</v>
      </c>
    </row>
    <row r="40" spans="2:15" ht="29" x14ac:dyDescent="0.35">
      <c r="B40" s="76" t="s">
        <v>70</v>
      </c>
      <c r="C40" s="82">
        <f t="shared" ca="1" si="29"/>
        <v>5.309774478928983E-2</v>
      </c>
      <c r="D40" s="82">
        <f t="shared" ca="1" si="33"/>
        <v>2.6751572833091947E-2</v>
      </c>
      <c r="E40" s="82">
        <f t="shared" ca="1" si="30"/>
        <v>8.7487938243808294E-2</v>
      </c>
      <c r="F40" s="82">
        <f t="shared" ca="1" si="30"/>
        <v>6.5913253087482582E-2</v>
      </c>
      <c r="G40" s="82">
        <f t="shared" ca="1" si="31"/>
        <v>3.2238214992776501E-2</v>
      </c>
      <c r="K40" s="76" t="s">
        <v>70</v>
      </c>
      <c r="L40" s="70">
        <f ca="1">SUMIF(
INDIRECT("'"&amp;L$2&amp;"'!$A$1:$A$500"),
$K40,
INDIRECT("'"&amp;L$2&amp;"'!$C$1:$C$500")
)</f>
        <v>3491</v>
      </c>
      <c r="M40" s="70">
        <f ca="1">SUMIF(
INDIRECT("'"&amp;M$2&amp;"'!$A$1:$A$500"),
$K40,
INDIRECT("'"&amp;M$2&amp;"'!$C$1:$C$500")
)</f>
        <v>4624</v>
      </c>
      <c r="N40" s="70">
        <f t="shared" ref="M40:O41" ca="1" si="35">SUMIF(
INDIRECT("'"&amp;N$2&amp;"'!$A$1:$A$500"),
$K40,
INDIRECT("'"&amp;N$2&amp;"'!$C$1:$C$500")
)</f>
        <v>4211</v>
      </c>
      <c r="O40" s="70">
        <f t="shared" ca="1" si="35"/>
        <v>1205</v>
      </c>
    </row>
    <row r="41" spans="2:15" x14ac:dyDescent="0.35">
      <c r="B41" s="76" t="s">
        <v>72</v>
      </c>
      <c r="C41" s="82">
        <f t="shared" ca="1" si="29"/>
        <v>0.1582498276683969</v>
      </c>
      <c r="D41" s="82">
        <f t="shared" ca="1" si="33"/>
        <v>9.8960129351632606E-2</v>
      </c>
      <c r="E41" s="82">
        <f t="shared" ca="1" si="30"/>
        <v>0.26060961534823002</v>
      </c>
      <c r="F41" s="82">
        <f t="shared" ca="1" si="30"/>
        <v>0.17181899290935559</v>
      </c>
      <c r="G41" s="82">
        <f t="shared" ca="1" si="31"/>
        <v>0.10161057306436941</v>
      </c>
      <c r="K41" s="76" t="s">
        <v>72</v>
      </c>
      <c r="L41" s="70">
        <f ca="1">SUMIF(
INDIRECT("'"&amp;L$2&amp;"'!$A$1:$A$500"),
$K41,
INDIRECT("'"&amp;L$2&amp;"'!$C$1:$C$500")
)</f>
        <v>12914</v>
      </c>
      <c r="M41" s="70">
        <f ca="1">SUMIF(
INDIRECT("'"&amp;M$2&amp;"'!$A$1:$A$500"),
$K41,
INDIRECT("'"&amp;M$2&amp;"'!$C$1:$C$500")
)</f>
        <v>13774</v>
      </c>
      <c r="N41" s="70">
        <f t="shared" ca="1" si="35"/>
        <v>10977</v>
      </c>
      <c r="O41" s="70">
        <f t="shared" ca="1" si="35"/>
        <v>3798</v>
      </c>
    </row>
    <row r="42" spans="2:15" x14ac:dyDescent="0.35">
      <c r="B42" s="76" t="s">
        <v>74</v>
      </c>
      <c r="C42" s="82">
        <f t="shared" ca="1" si="29"/>
        <v>2.6753705388196265E-5</v>
      </c>
      <c r="D42" s="82">
        <f t="shared" ca="1" si="33"/>
        <v>0</v>
      </c>
      <c r="E42" s="82">
        <f t="shared" ca="1" si="30"/>
        <v>0</v>
      </c>
      <c r="F42" s="82">
        <f t="shared" ca="1" si="30"/>
        <v>0</v>
      </c>
      <c r="G42" s="82">
        <f t="shared" ca="1" si="31"/>
        <v>1.0701482155278506E-4</v>
      </c>
      <c r="K42" s="76" t="s">
        <v>82</v>
      </c>
      <c r="L42" s="78">
        <f ca="1">SUMIF(INDIRECT("'"&amp;L$2&amp;"'!$A$1:$A$500"),$K$43,INDIRECT("'"&amp;L$2&amp;"'!$C$1:$C$500"))-L38-L40-L41</f>
        <v>0</v>
      </c>
      <c r="M42" s="78">
        <f ca="1">SUMIF(INDIRECT("'"&amp;M$2&amp;"'!$A$1:$A$500"),$K$43,INDIRECT("'"&amp;M$2&amp;"'!$C$1:$C$500"))-M38-M40-M41</f>
        <v>0</v>
      </c>
      <c r="N42" s="78">
        <f t="shared" ref="M42:O42" ca="1" si="36">SUMIF(INDIRECT("'"&amp;N$2&amp;"'!$A$1:$A$500"),$K$43,INDIRECT("'"&amp;N$2&amp;"'!$C$1:$C$500"))-N38-N40-N41</f>
        <v>0</v>
      </c>
      <c r="O42" s="78">
        <f t="shared" ca="1" si="36"/>
        <v>4</v>
      </c>
    </row>
    <row r="43" spans="2:15" x14ac:dyDescent="0.35">
      <c r="B43" s="77" t="s">
        <v>76</v>
      </c>
      <c r="C43" s="81">
        <f t="shared" ca="1" si="29"/>
        <v>0.67574393537337385</v>
      </c>
      <c r="D43" s="81">
        <f t="shared" ca="1" si="33"/>
        <v>0.37582473160302537</v>
      </c>
      <c r="E43" s="81">
        <f t="shared" ca="1" si="30"/>
        <v>1.0004351692429947</v>
      </c>
      <c r="F43" s="81">
        <f t="shared" ca="1" si="30"/>
        <v>0.59066789800741937</v>
      </c>
      <c r="G43" s="81">
        <f t="shared" ca="1" si="31"/>
        <v>0.73604794264005569</v>
      </c>
      <c r="K43" s="77" t="s">
        <v>76</v>
      </c>
      <c r="L43" s="73">
        <f ca="1">SUM(L38,L40:L42)</f>
        <v>49044</v>
      </c>
      <c r="M43" s="73">
        <f ca="1">SUM(M38,M40:M42)</f>
        <v>52876</v>
      </c>
      <c r="N43" s="73">
        <f t="shared" ref="M43:O43" ca="1" si="37">SUM(N38,N40:N42)</f>
        <v>37736</v>
      </c>
      <c r="O43" s="73">
        <f t="shared" ca="1" si="37"/>
        <v>27512</v>
      </c>
    </row>
    <row r="44" spans="2:15" x14ac:dyDescent="0.35">
      <c r="B44" s="77" t="s">
        <v>78</v>
      </c>
      <c r="C44" s="81">
        <f t="shared" ca="1" si="29"/>
        <v>0.32425606462662621</v>
      </c>
      <c r="D44" s="81">
        <f t="shared" ca="1" si="33"/>
        <v>0.62417526839697468</v>
      </c>
      <c r="E44" s="81">
        <f t="shared" ca="1" si="30"/>
        <v>-4.3516924299472119E-4</v>
      </c>
      <c r="F44" s="81">
        <f t="shared" ca="1" si="30"/>
        <v>0.40933210199258063</v>
      </c>
      <c r="G44" s="81">
        <f t="shared" ca="1" si="31"/>
        <v>0.26395205735994437</v>
      </c>
      <c r="K44" s="77" t="s">
        <v>78</v>
      </c>
      <c r="L44" s="73">
        <f ca="1">L37-L43</f>
        <v>81453</v>
      </c>
      <c r="M44" s="73">
        <f ca="1">M37-M43</f>
        <v>-23</v>
      </c>
      <c r="N44" s="73">
        <f t="shared" ref="M44:O44" ca="1" si="38">N37-N43</f>
        <v>26151</v>
      </c>
      <c r="O44" s="73">
        <f t="shared" ca="1" si="38"/>
        <v>9866</v>
      </c>
    </row>
    <row r="45" spans="2:15" x14ac:dyDescent="0.35">
      <c r="B45" s="76" t="s">
        <v>79</v>
      </c>
      <c r="C45" s="82">
        <f t="shared" ca="1" si="29"/>
        <v>0.14946432185627334</v>
      </c>
      <c r="D45" s="82">
        <f t="shared" ca="1" si="33"/>
        <v>1.4506080599554013E-2</v>
      </c>
      <c r="E45" s="82">
        <f t="shared" ca="1" si="30"/>
        <v>0.22148222428244377</v>
      </c>
      <c r="F45" s="82">
        <f t="shared" ca="1" si="30"/>
        <v>0.13735188692535258</v>
      </c>
      <c r="G45" s="82">
        <f t="shared" ca="1" si="31"/>
        <v>0.22451709561774305</v>
      </c>
      <c r="K45" s="76" t="s">
        <v>79</v>
      </c>
      <c r="L45" s="70">
        <f ca="1">SUMIF(
INDIRECT("'"&amp;L$2&amp;"'!$A$1:$A$500"),
$K45,
INDIRECT("'"&amp;L$2&amp;"'!$C$1:$C$500")
)</f>
        <v>1893</v>
      </c>
      <c r="M45" s="70">
        <f ca="1">SUMIF(
INDIRECT("'"&amp;M$2&amp;"'!$A$1:$A$500"),
$K45,
INDIRECT("'"&amp;M$2&amp;"'!$C$1:$C$500")
)</f>
        <v>11706</v>
      </c>
      <c r="N45" s="70">
        <f t="shared" ref="M45:O45" ca="1" si="39">SUMIF(
INDIRECT("'"&amp;N$2&amp;"'!$A$1:$A$500"),
$K45,
INDIRECT("'"&amp;N$2&amp;"'!$C$1:$C$500")
)</f>
        <v>8775</v>
      </c>
      <c r="O45" s="70">
        <f t="shared" ca="1" si="39"/>
        <v>8392</v>
      </c>
    </row>
    <row r="46" spans="2:15" ht="29" x14ac:dyDescent="0.35">
      <c r="B46" s="77" t="s">
        <v>80</v>
      </c>
      <c r="C46" s="81">
        <f t="shared" ca="1" si="29"/>
        <v>0.47372038648289955</v>
      </c>
      <c r="D46" s="81">
        <f t="shared" ca="1" si="33"/>
        <v>0.63868134899652862</v>
      </c>
      <c r="E46" s="81">
        <f t="shared" ca="1" si="30"/>
        <v>0.22104705503944905</v>
      </c>
      <c r="F46" s="81">
        <f t="shared" ca="1" si="30"/>
        <v>0.54668398891793324</v>
      </c>
      <c r="G46" s="81">
        <f t="shared" ca="1" si="31"/>
        <v>0.48846915297768739</v>
      </c>
      <c r="K46" s="77" t="s">
        <v>80</v>
      </c>
      <c r="L46" s="73">
        <f ca="1">L44+L45</f>
        <v>83346</v>
      </c>
      <c r="M46" s="73">
        <f t="shared" ref="M46:O46" ca="1" si="40">M44+M45</f>
        <v>11683</v>
      </c>
      <c r="N46" s="73">
        <f t="shared" ca="1" si="40"/>
        <v>34926</v>
      </c>
      <c r="O46" s="73">
        <f t="shared" ca="1" si="40"/>
        <v>18258</v>
      </c>
    </row>
    <row r="47" spans="2:15" x14ac:dyDescent="0.35">
      <c r="B47" s="76" t="s">
        <v>81</v>
      </c>
      <c r="C47" s="82">
        <f t="shared" ca="1" si="29"/>
        <v>8.5252794070480777E-3</v>
      </c>
      <c r="D47" s="82">
        <f t="shared" ca="1" si="33"/>
        <v>-1.179337456033472E-2</v>
      </c>
      <c r="E47" s="82">
        <f t="shared" ca="1" si="30"/>
        <v>1.5893137570241992E-3</v>
      </c>
      <c r="F47" s="82">
        <f t="shared" ca="1" si="30"/>
        <v>4.4813498833878564E-2</v>
      </c>
      <c r="G47" s="82">
        <f t="shared" ca="1" si="31"/>
        <v>-5.0832040237572902E-4</v>
      </c>
      <c r="K47" s="76" t="s">
        <v>81</v>
      </c>
      <c r="L47" s="70">
        <f ca="1">SUMIF(
INDIRECT("'"&amp;L$2&amp;"'!$A$1:$A$500"),
$K47,
INDIRECT("'"&amp;L$2&amp;"'!$C$1:$C$500")
)</f>
        <v>-1539</v>
      </c>
      <c r="M47" s="70">
        <f t="shared" ref="M47:O47" ca="1" si="41">SUMIF(
INDIRECT("'"&amp;M$2&amp;"'!$A$1:$A$500"),
$K47,
INDIRECT("'"&amp;M$2&amp;"'!$C$1:$C$500")
)</f>
        <v>84</v>
      </c>
      <c r="N47" s="70">
        <f t="shared" ca="1" si="41"/>
        <v>2863</v>
      </c>
      <c r="O47" s="70">
        <f t="shared" ca="1" si="41"/>
        <v>-19</v>
      </c>
    </row>
    <row r="48" spans="2:15" x14ac:dyDescent="0.35">
      <c r="B48" s="76" t="s">
        <v>82</v>
      </c>
      <c r="C48" s="82">
        <f t="shared" ca="1" si="29"/>
        <v>6.1192931640589015E-3</v>
      </c>
      <c r="D48" s="82">
        <f t="shared" ca="1" si="33"/>
        <v>7.923553798171605E-3</v>
      </c>
      <c r="E48" s="82">
        <f t="shared" ca="1" si="30"/>
        <v>3.1483548710574613E-2</v>
      </c>
      <c r="F48" s="82">
        <f t="shared" ca="1" si="30"/>
        <v>-8.7498239078372744E-3</v>
      </c>
      <c r="G48" s="82">
        <f t="shared" ca="1" si="31"/>
        <v>-6.1801059446733369E-3</v>
      </c>
      <c r="K48" s="76" t="s">
        <v>82</v>
      </c>
      <c r="L48" s="78">
        <f ca="1">SUMIF(INDIRECT("'"&amp;L$2&amp;"'!$A$1:$A$500"),$K$49,INDIRECT("'"&amp;L$2&amp;"'!$C$1:$C$500"))-L44+L47</f>
        <v>1034</v>
      </c>
      <c r="M48" s="78">
        <f t="shared" ref="M48:O48" ca="1" si="42">SUMIF(INDIRECT("'"&amp;M$2&amp;"'!$A$1:$A$500"),$K$49,INDIRECT("'"&amp;M$2&amp;"'!$C$1:$C$500"))-M44+M47</f>
        <v>1664</v>
      </c>
      <c r="N48" s="78">
        <f t="shared" ca="1" si="42"/>
        <v>-559</v>
      </c>
      <c r="O48" s="78">
        <f t="shared" ca="1" si="42"/>
        <v>-231</v>
      </c>
    </row>
    <row r="49" spans="2:15" x14ac:dyDescent="0.35">
      <c r="B49" s="77" t="s">
        <v>83</v>
      </c>
      <c r="C49" s="81">
        <f t="shared" ca="1" si="29"/>
        <v>0.32185007838363699</v>
      </c>
      <c r="D49" s="81">
        <f t="shared" ca="1" si="33"/>
        <v>0.64389219675548093</v>
      </c>
      <c r="E49" s="81">
        <f t="shared" ca="1" si="30"/>
        <v>2.9459065710555694E-2</v>
      </c>
      <c r="F49" s="81">
        <f t="shared" ca="1" si="30"/>
        <v>0.35576877925086481</v>
      </c>
      <c r="G49" s="81">
        <f t="shared" ca="1" si="31"/>
        <v>0.25828027181764673</v>
      </c>
      <c r="K49" s="77" t="s">
        <v>83</v>
      </c>
      <c r="L49" s="73">
        <f ca="1">L44-L47+L48</f>
        <v>84026</v>
      </c>
      <c r="M49" s="73">
        <f t="shared" ref="M49:O49" ca="1" si="43">M44-M47+M48</f>
        <v>1557</v>
      </c>
      <c r="N49" s="73">
        <f t="shared" ca="1" si="43"/>
        <v>22729</v>
      </c>
      <c r="O49" s="73">
        <f t="shared" ca="1" si="43"/>
        <v>9654</v>
      </c>
    </row>
    <row r="50" spans="2:15" x14ac:dyDescent="0.35">
      <c r="B50" s="76" t="s">
        <v>84</v>
      </c>
      <c r="C50" s="82">
        <f t="shared" ca="1" si="29"/>
        <v>3.4559032133010543E-2</v>
      </c>
      <c r="D50" s="82">
        <f t="shared" ca="1" si="33"/>
        <v>8.5411925178356593E-2</v>
      </c>
      <c r="E50" s="82">
        <f t="shared" ca="1" si="30"/>
        <v>2.8967135261952964E-2</v>
      </c>
      <c r="F50" s="82">
        <f t="shared" ca="1" si="30"/>
        <v>-6.2140967645999967E-3</v>
      </c>
      <c r="G50" s="82">
        <f t="shared" ca="1" si="31"/>
        <v>3.0071164856332603E-2</v>
      </c>
      <c r="K50" s="76" t="s">
        <v>84</v>
      </c>
      <c r="L50" s="70">
        <f ca="1">SUMIF(INDIRECT("'"&amp;L$2&amp;"'!$A$1:$A$500"),$K$50,INDIRECT("'"&amp;L$2&amp;"'!$C$1:$C$500"))</f>
        <v>11146</v>
      </c>
      <c r="M50" s="70">
        <f t="shared" ref="M50:O50" ca="1" si="44">SUMIF(INDIRECT("'"&amp;M$2&amp;"'!$A$1:$A$500"),$K$50,INDIRECT("'"&amp;M$2&amp;"'!$C$1:$C$500"))</f>
        <v>1531</v>
      </c>
      <c r="N50" s="70">
        <f t="shared" ca="1" si="44"/>
        <v>-397</v>
      </c>
      <c r="O50" s="70">
        <f t="shared" ca="1" si="44"/>
        <v>1124</v>
      </c>
    </row>
    <row r="51" spans="2:15" x14ac:dyDescent="0.35">
      <c r="B51" s="76" t="s">
        <v>82</v>
      </c>
      <c r="C51" s="82">
        <f t="shared" ca="1" si="29"/>
        <v>-1.3257235998053987E-3</v>
      </c>
      <c r="D51" s="82">
        <f t="shared" ca="1" si="33"/>
        <v>0</v>
      </c>
      <c r="E51" s="82">
        <f t="shared" ca="1" si="30"/>
        <v>-5.5436777477153613E-3</v>
      </c>
      <c r="F51" s="82">
        <f t="shared" ca="1" si="30"/>
        <v>0</v>
      </c>
      <c r="G51" s="82">
        <f t="shared" ca="1" si="31"/>
        <v>2.407833484937664E-4</v>
      </c>
      <c r="K51" s="76" t="s">
        <v>82</v>
      </c>
      <c r="L51" s="78">
        <f ca="1">SUMIF(INDIRECT("'"&amp;L$2&amp;"'!$A$1:$A$500"),$K$52,INDIRECT("'"&amp;L$2&amp;"'!$C$1:$C$500"))-(L49-L50)</f>
        <v>0</v>
      </c>
      <c r="M51" s="78">
        <f t="shared" ref="M51:O51" ca="1" si="45">SUMIF(INDIRECT("'"&amp;M$2&amp;"'!$A$1:$A$500"),$K$52,INDIRECT("'"&amp;M$2&amp;"'!$C$1:$C$500"))-(M49-M50)</f>
        <v>-293</v>
      </c>
      <c r="N51" s="78">
        <f t="shared" ca="1" si="45"/>
        <v>0</v>
      </c>
      <c r="O51" s="78">
        <f t="shared" ca="1" si="45"/>
        <v>9</v>
      </c>
    </row>
    <row r="52" spans="2:15" x14ac:dyDescent="0.35">
      <c r="B52" s="77" t="s">
        <v>85</v>
      </c>
      <c r="C52" s="81">
        <f t="shared" ca="1" si="29"/>
        <v>0.28596532265082114</v>
      </c>
      <c r="D52" s="81">
        <f t="shared" ca="1" si="33"/>
        <v>0.55848027157712443</v>
      </c>
      <c r="E52" s="81">
        <f t="shared" ca="1" si="30"/>
        <v>-5.0517472991126328E-3</v>
      </c>
      <c r="F52" s="81">
        <f t="shared" ca="1" si="30"/>
        <v>0.36198287601546481</v>
      </c>
      <c r="G52" s="81">
        <f t="shared" ca="1" si="31"/>
        <v>0.22844989030980792</v>
      </c>
      <c r="K52" s="77" t="s">
        <v>85</v>
      </c>
      <c r="L52" s="73">
        <f ca="1">L49-L50+L51</f>
        <v>72880</v>
      </c>
      <c r="M52" s="73">
        <f t="shared" ref="M52:O52" ca="1" si="46">M49-M50+M51</f>
        <v>-267</v>
      </c>
      <c r="N52" s="73">
        <f t="shared" ca="1" si="46"/>
        <v>23126</v>
      </c>
      <c r="O52" s="73">
        <f t="shared" ca="1" si="46"/>
        <v>8539</v>
      </c>
    </row>
    <row r="53" spans="2:15" x14ac:dyDescent="0.35">
      <c r="K53" s="133" t="s">
        <v>787</v>
      </c>
      <c r="L53" s="134">
        <f ca="1">ROUND(SUMIF(INDIRECT("'"&amp;L$2&amp;"'!$A$1:$A$500"),$K$52,INDIRECT("'"&amp;L$2&amp;"'!$C$1:$C$500"))-L52,2)</f>
        <v>0</v>
      </c>
      <c r="M53" s="134">
        <f t="shared" ref="M53:O53" ca="1" si="47">ROUND(SUMIF(INDIRECT("'"&amp;M$2&amp;"'!$A$1:$A$500"),$K$52,INDIRECT("'"&amp;M$2&amp;"'!$C$1:$C$500"))-M52,2)</f>
        <v>0</v>
      </c>
      <c r="N53" s="134">
        <f t="shared" ca="1" si="47"/>
        <v>0</v>
      </c>
      <c r="O53" s="134">
        <f t="shared" ca="1" si="47"/>
        <v>0</v>
      </c>
    </row>
    <row r="55" spans="2:15" ht="12" customHeight="1" x14ac:dyDescent="0.35">
      <c r="B55" s="124" t="s">
        <v>759</v>
      </c>
      <c r="C55" s="124"/>
      <c r="D55" s="124"/>
      <c r="E55" s="124"/>
      <c r="F55" s="124"/>
      <c r="G55" s="124"/>
      <c r="K55" s="124" t="s">
        <v>759</v>
      </c>
      <c r="L55" s="124"/>
      <c r="M55" s="124"/>
      <c r="N55" s="124"/>
      <c r="O55" s="124"/>
    </row>
    <row r="56" spans="2:15" x14ac:dyDescent="0.35">
      <c r="B56" s="77" t="s">
        <v>760</v>
      </c>
      <c r="C56" s="128">
        <f ca="1">IFERROR(AVERAGE(D56:G56),0)</f>
        <v>2.6700583465426044</v>
      </c>
      <c r="D56" s="128">
        <f ca="1">L56</f>
        <v>4.4398514988640772</v>
      </c>
      <c r="E56" s="128">
        <f t="shared" ref="E56:F63" ca="1" si="48">M56</f>
        <v>2.0170387965162311</v>
      </c>
      <c r="F56" s="128">
        <f t="shared" ca="1" si="48"/>
        <v>1.7053581073782003</v>
      </c>
      <c r="G56" s="128">
        <f ca="1">O56</f>
        <v>2.5179849834119086</v>
      </c>
      <c r="K56" s="77" t="s">
        <v>760</v>
      </c>
      <c r="L56" s="135">
        <f ca="1">IFERROR(L11/L23,0)</f>
        <v>4.4398514988640772</v>
      </c>
      <c r="M56" s="135">
        <f t="shared" ref="M56:O56" ca="1" si="49">IFERROR(M11/M23,0)</f>
        <v>2.0170387965162311</v>
      </c>
      <c r="N56" s="135">
        <f t="shared" ca="1" si="49"/>
        <v>1.7053581073782003</v>
      </c>
      <c r="O56" s="135">
        <f t="shared" ca="1" si="49"/>
        <v>2.5179849834119086</v>
      </c>
    </row>
    <row r="57" spans="2:15" x14ac:dyDescent="0.35">
      <c r="B57" s="77" t="s">
        <v>761</v>
      </c>
      <c r="C57" s="128">
        <f ca="1">IFERROR(AVERAGE(D57:G57),0)</f>
        <v>1.9409769775035981</v>
      </c>
      <c r="D57" s="128">
        <f t="shared" ref="D57:D63" ca="1" si="50">L57</f>
        <v>3.672355516152269</v>
      </c>
      <c r="E57" s="128">
        <f t="shared" ca="1" si="48"/>
        <v>1.306571654790182</v>
      </c>
      <c r="F57" s="128">
        <f t="shared" ca="1" si="48"/>
        <v>1.2597493788484391</v>
      </c>
      <c r="G57" s="128">
        <f ca="1">O57</f>
        <v>1.5252313602235028</v>
      </c>
      <c r="K57" s="77" t="s">
        <v>761</v>
      </c>
      <c r="L57" s="135">
        <f ca="1">IFERROR(SUM(L6:L8)/L23,0)</f>
        <v>3.672355516152269</v>
      </c>
      <c r="M57" s="135">
        <f t="shared" ref="M57:O57" ca="1" si="51">IFERROR(SUM(M6:M8)/M23,0)</f>
        <v>1.306571654790182</v>
      </c>
      <c r="N57" s="135">
        <f t="shared" ca="1" si="51"/>
        <v>1.2597493788484391</v>
      </c>
      <c r="O57" s="135">
        <f t="shared" ca="1" si="51"/>
        <v>1.5252313602235028</v>
      </c>
    </row>
    <row r="58" spans="2:15" x14ac:dyDescent="0.35">
      <c r="B58" s="77" t="s">
        <v>762</v>
      </c>
      <c r="C58" s="130">
        <f t="shared" ref="C58:C63" ca="1" si="52">IFERROR(AVERAGE(D58:G58),0)</f>
        <v>31159.5</v>
      </c>
      <c r="D58" s="130">
        <f t="shared" ca="1" si="50"/>
        <v>62079</v>
      </c>
      <c r="E58" s="130">
        <f t="shared" ca="1" si="48"/>
        <v>32113</v>
      </c>
      <c r="F58" s="130">
        <f t="shared" ca="1" si="48"/>
        <v>13059</v>
      </c>
      <c r="G58" s="130">
        <f ca="1">O58</f>
        <v>17387</v>
      </c>
      <c r="K58" s="77" t="s">
        <v>762</v>
      </c>
      <c r="L58" s="136">
        <f ca="1">L11-L23</f>
        <v>62079</v>
      </c>
      <c r="M58" s="136">
        <f t="shared" ref="M58:O58" ca="1" si="53">M11-M23</f>
        <v>32113</v>
      </c>
      <c r="N58" s="136">
        <f t="shared" ca="1" si="53"/>
        <v>13059</v>
      </c>
      <c r="O58" s="136">
        <f t="shared" ca="1" si="53"/>
        <v>17387</v>
      </c>
    </row>
    <row r="59" spans="2:15" ht="12" customHeight="1" x14ac:dyDescent="0.35">
      <c r="B59" s="124" t="s">
        <v>763</v>
      </c>
      <c r="C59" s="125">
        <f t="shared" si="52"/>
        <v>0</v>
      </c>
      <c r="D59" s="125">
        <f t="shared" si="50"/>
        <v>0</v>
      </c>
      <c r="E59" s="125">
        <f t="shared" si="48"/>
        <v>0</v>
      </c>
      <c r="F59" s="125">
        <f t="shared" si="48"/>
        <v>0</v>
      </c>
      <c r="G59" s="125"/>
      <c r="K59" s="124" t="s">
        <v>763</v>
      </c>
      <c r="L59" s="125"/>
      <c r="M59" s="125"/>
      <c r="N59" s="125"/>
      <c r="O59" s="125"/>
    </row>
    <row r="60" spans="2:15" x14ac:dyDescent="0.35">
      <c r="B60" s="77" t="s">
        <v>764</v>
      </c>
      <c r="C60" s="128">
        <f t="shared" ca="1" si="52"/>
        <v>5.23676487963042</v>
      </c>
      <c r="D60" s="128">
        <f t="shared" ca="1" si="50"/>
        <v>4.2493164952480145</v>
      </c>
      <c r="E60" s="128">
        <f t="shared" ca="1" si="48"/>
        <v>2.8953644608666442</v>
      </c>
      <c r="F60" s="128">
        <f t="shared" ca="1" si="48"/>
        <v>11.190074441687345</v>
      </c>
      <c r="G60" s="128">
        <f t="shared" ref="G60:G67" ca="1" si="54">O60</f>
        <v>2.6123041207196751</v>
      </c>
      <c r="K60" s="77" t="s">
        <v>764</v>
      </c>
      <c r="L60" s="135">
        <f ca="1">IFERROR(L38/AVERAGE(L9,SUMIF(INDIRECT("'"&amp;L$2&amp;"'!$A$1:$A$500"),$K$9,INDIRECT("'"&amp;L$2&amp;"'!$B$1:$B$500"))),0)</f>
        <v>4.2493164952480145</v>
      </c>
      <c r="M60" s="135">
        <f t="shared" ref="M60:O60" ca="1" si="55">IFERROR(M38/AVERAGE(M9,SUMIF(INDIRECT("'"&amp;M$2&amp;"'!$A$1:$A$500"),$K$9,INDIRECT("'"&amp;M$2&amp;"'!$B$1:$B$500"))),0)</f>
        <v>2.8953644608666442</v>
      </c>
      <c r="N60" s="135">
        <f t="shared" ca="1" si="55"/>
        <v>11.190074441687345</v>
      </c>
      <c r="O60" s="135">
        <f t="shared" ca="1" si="55"/>
        <v>2.6123041207196751</v>
      </c>
    </row>
    <row r="61" spans="2:15" x14ac:dyDescent="0.35">
      <c r="B61" s="77" t="s">
        <v>765</v>
      </c>
      <c r="C61" s="128">
        <f t="shared" ca="1" si="52"/>
        <v>8.5126144589221937</v>
      </c>
      <c r="D61" s="128">
        <f t="shared" ca="1" si="50"/>
        <v>16.158618127786031</v>
      </c>
      <c r="E61" s="128">
        <f t="shared" ca="1" si="48"/>
        <v>0.49939056077857041</v>
      </c>
      <c r="F61" s="128">
        <f t="shared" ca="1" si="48"/>
        <v>16.602650727650726</v>
      </c>
      <c r="G61" s="128">
        <f t="shared" ca="1" si="54"/>
        <v>0.78979841947343954</v>
      </c>
      <c r="K61" s="77" t="s">
        <v>765</v>
      </c>
      <c r="L61" s="135">
        <f ca="1">IFERROR(L37/L14,0)</f>
        <v>16.158618127786031</v>
      </c>
      <c r="M61" s="135">
        <f t="shared" ref="M61:O61" ca="1" si="56">IFERROR(M37/M14,0)</f>
        <v>0.49939056077857041</v>
      </c>
      <c r="N61" s="135">
        <f t="shared" ca="1" si="56"/>
        <v>16.602650727650726</v>
      </c>
      <c r="O61" s="135">
        <f t="shared" ca="1" si="56"/>
        <v>0.78979841947343954</v>
      </c>
    </row>
    <row r="62" spans="2:15" x14ac:dyDescent="0.35">
      <c r="B62" s="77" t="s">
        <v>766</v>
      </c>
      <c r="C62" s="128">
        <f t="shared" ca="1" si="52"/>
        <v>0.56103517314838691</v>
      </c>
      <c r="D62" s="128">
        <f t="shared" ca="1" si="50"/>
        <v>1.169317479234057</v>
      </c>
      <c r="E62" s="128">
        <f t="shared" ca="1" si="48"/>
        <v>0.24997989868939455</v>
      </c>
      <c r="F62" s="128">
        <f t="shared" ca="1" si="48"/>
        <v>0.37340728964533704</v>
      </c>
      <c r="G62" s="128">
        <f t="shared" ca="1" si="54"/>
        <v>0.45143602502475905</v>
      </c>
      <c r="K62" s="77" t="s">
        <v>766</v>
      </c>
      <c r="L62" s="135">
        <f ca="1">IFERROR(L37/L18,0)</f>
        <v>1.169317479234057</v>
      </c>
      <c r="M62" s="135">
        <f t="shared" ref="M62:O62" ca="1" si="57">IFERROR(M37/M18,0)</f>
        <v>0.24997989868939455</v>
      </c>
      <c r="N62" s="135">
        <f t="shared" ca="1" si="57"/>
        <v>0.37340728964533704</v>
      </c>
      <c r="O62" s="135">
        <f t="shared" ca="1" si="57"/>
        <v>0.45143602502475905</v>
      </c>
    </row>
    <row r="63" spans="2:15" x14ac:dyDescent="0.35">
      <c r="B63" s="77" t="s">
        <v>767</v>
      </c>
      <c r="C63" s="129">
        <f t="shared" ca="1" si="52"/>
        <v>50.448261636965029</v>
      </c>
      <c r="D63" s="129">
        <f t="shared" ca="1" si="50"/>
        <v>64.512785734537957</v>
      </c>
      <c r="E63" s="129">
        <f t="shared" ca="1" si="48"/>
        <v>26.511929313378616</v>
      </c>
      <c r="F63" s="129">
        <f t="shared" ca="1" si="48"/>
        <v>40.820902531031351</v>
      </c>
      <c r="G63" s="129">
        <f t="shared" ca="1" si="54"/>
        <v>69.947428968912192</v>
      </c>
      <c r="K63" s="77" t="s">
        <v>767</v>
      </c>
      <c r="L63" s="137">
        <f ca="1">IFERROR(L8/(L37/365),0)</f>
        <v>64.512785734537957</v>
      </c>
      <c r="M63" s="137">
        <f t="shared" ref="M63:O63" ca="1" si="58">IFERROR(M8/(M37/365),0)</f>
        <v>26.511929313378616</v>
      </c>
      <c r="N63" s="137">
        <f t="shared" ca="1" si="58"/>
        <v>40.820902531031351</v>
      </c>
      <c r="O63" s="137">
        <f t="shared" ca="1" si="58"/>
        <v>69.947428968912192</v>
      </c>
    </row>
    <row r="64" spans="2:15" x14ac:dyDescent="0.35">
      <c r="B64" t="s">
        <v>768</v>
      </c>
      <c r="C64" s="129">
        <f ca="1">IFERROR(AVERAGE(D64:G64),0)</f>
        <v>101.99253796450313</v>
      </c>
      <c r="D64" s="129">
        <f t="shared" ref="D64:F67" ca="1" si="59">L64</f>
        <v>112.72404179049603</v>
      </c>
      <c r="E64" s="129">
        <f t="shared" ca="1" si="59"/>
        <v>122.99350310342828</v>
      </c>
      <c r="F64" s="129">
        <f t="shared" ca="1" si="59"/>
        <v>36.746052864999115</v>
      </c>
      <c r="G64" s="129">
        <f t="shared" ca="1" si="54"/>
        <v>135.50655409908907</v>
      </c>
      <c r="K64" t="s">
        <v>768</v>
      </c>
      <c r="L64" s="137">
        <f ca="1">IFERROR(L9/(L38/365),0)</f>
        <v>112.72404179049603</v>
      </c>
      <c r="M64" s="137">
        <f t="shared" ref="M64:O64" ca="1" si="60">IFERROR(M9/(M38/365),0)</f>
        <v>122.99350310342828</v>
      </c>
      <c r="N64" s="137">
        <f t="shared" ca="1" si="60"/>
        <v>36.746052864999115</v>
      </c>
      <c r="O64" s="137">
        <f t="shared" ca="1" si="60"/>
        <v>135.50655409908907</v>
      </c>
    </row>
    <row r="65" spans="2:15" x14ac:dyDescent="0.35">
      <c r="B65" t="s">
        <v>769</v>
      </c>
      <c r="C65" s="129">
        <f ca="1">IFERROR(AVERAGE(D65:G65),0)</f>
        <v>64.056150675772386</v>
      </c>
      <c r="D65" s="129">
        <f t="shared" ca="1" si="59"/>
        <v>70.564355525598216</v>
      </c>
      <c r="E65" s="129">
        <f t="shared" ca="1" si="59"/>
        <v>104.61540692615581</v>
      </c>
      <c r="F65" s="129">
        <f t="shared" ca="1" si="59"/>
        <v>25.25279403938265</v>
      </c>
      <c r="G65" s="129">
        <f t="shared" ca="1" si="54"/>
        <v>55.792046211952893</v>
      </c>
      <c r="K65" t="s">
        <v>769</v>
      </c>
      <c r="L65" s="137">
        <f ca="1">IFERROR(L20/(L38/365),0)</f>
        <v>70.564355525598216</v>
      </c>
      <c r="M65" s="137">
        <f t="shared" ref="M65:O65" ca="1" si="61">IFERROR(M20/(M38/365),0)</f>
        <v>104.61540692615581</v>
      </c>
      <c r="N65" s="137">
        <f t="shared" ca="1" si="61"/>
        <v>25.25279403938265</v>
      </c>
      <c r="O65" s="137">
        <f t="shared" ca="1" si="61"/>
        <v>55.792046211952893</v>
      </c>
    </row>
    <row r="66" spans="2:15" x14ac:dyDescent="0.35">
      <c r="B66" t="s">
        <v>770</v>
      </c>
      <c r="C66" s="129">
        <f ca="1">IFERROR(AVERAGE(D66:G66),0)</f>
        <v>152.44079960146814</v>
      </c>
      <c r="D66" s="129">
        <f t="shared" ca="1" si="59"/>
        <v>177.23682752503399</v>
      </c>
      <c r="E66" s="129">
        <f t="shared" ca="1" si="59"/>
        <v>149.50543241680691</v>
      </c>
      <c r="F66" s="129">
        <f t="shared" ca="1" si="59"/>
        <v>77.566955396030465</v>
      </c>
      <c r="G66" s="129">
        <f t="shared" ca="1" si="54"/>
        <v>205.45398306800126</v>
      </c>
      <c r="K66" t="s">
        <v>770</v>
      </c>
      <c r="L66" s="137">
        <f ca="1">L63+L64</f>
        <v>177.23682752503399</v>
      </c>
      <c r="M66" s="137">
        <f t="shared" ref="M66:O66" ca="1" si="62">M63+M64</f>
        <v>149.50543241680691</v>
      </c>
      <c r="N66" s="137">
        <f t="shared" ca="1" si="62"/>
        <v>77.566955396030465</v>
      </c>
      <c r="O66" s="137">
        <f t="shared" ca="1" si="62"/>
        <v>205.45398306800126</v>
      </c>
    </row>
    <row r="67" spans="2:15" x14ac:dyDescent="0.35">
      <c r="B67" t="s">
        <v>771</v>
      </c>
      <c r="C67" s="129">
        <f ca="1">IFERROR(AVERAGE(D67:G67),0)</f>
        <v>88.384648925695757</v>
      </c>
      <c r="D67" s="129">
        <f t="shared" ca="1" si="59"/>
        <v>106.67247199943577</v>
      </c>
      <c r="E67" s="129">
        <f t="shared" ca="1" si="59"/>
        <v>44.890025490651098</v>
      </c>
      <c r="F67" s="129">
        <f t="shared" ca="1" si="59"/>
        <v>52.314161356647816</v>
      </c>
      <c r="G67" s="129">
        <f t="shared" ca="1" si="54"/>
        <v>149.66193685604838</v>
      </c>
      <c r="K67" t="s">
        <v>771</v>
      </c>
      <c r="L67" s="137">
        <f ca="1">L63+L64-L65</f>
        <v>106.67247199943577</v>
      </c>
      <c r="M67" s="137">
        <f t="shared" ref="M67:O67" ca="1" si="63">M63+M64-M65</f>
        <v>44.890025490651098</v>
      </c>
      <c r="N67" s="137">
        <f t="shared" ca="1" si="63"/>
        <v>52.314161356647816</v>
      </c>
      <c r="O67" s="137">
        <f t="shared" ca="1" si="63"/>
        <v>149.66193685604838</v>
      </c>
    </row>
    <row r="68" spans="2:15" ht="12" customHeight="1" x14ac:dyDescent="0.35">
      <c r="B68" s="126" t="s">
        <v>772</v>
      </c>
      <c r="C68" s="126"/>
      <c r="D68" s="126"/>
      <c r="E68" s="126"/>
      <c r="F68" s="126"/>
      <c r="G68" s="126"/>
      <c r="K68" s="126" t="s">
        <v>772</v>
      </c>
      <c r="L68" s="126"/>
      <c r="M68" s="126"/>
      <c r="N68" s="126"/>
      <c r="O68" s="126"/>
    </row>
    <row r="69" spans="2:15" x14ac:dyDescent="0.35">
      <c r="B69" t="s">
        <v>773</v>
      </c>
      <c r="C69" s="127">
        <f ca="1">IFERROR(AVERAGE(D69:G69),0)</f>
        <v>0.39055621691306053</v>
      </c>
      <c r="D69" s="127">
        <f t="shared" ref="D69:G70" ca="1" si="64">L69</f>
        <v>0.28919095707027714</v>
      </c>
      <c r="E69" s="127">
        <f t="shared" ca="1" si="64"/>
        <v>0.40235256279885917</v>
      </c>
      <c r="F69" s="127">
        <f t="shared" ca="1" si="64"/>
        <v>0.52486381595866549</v>
      </c>
      <c r="G69" s="127">
        <f t="shared" ca="1" si="64"/>
        <v>0.34581753182444019</v>
      </c>
      <c r="K69" t="s">
        <v>773</v>
      </c>
      <c r="L69" s="138">
        <f ca="1">IFERROR(L28/L18,0)</f>
        <v>0.28919095707027714</v>
      </c>
      <c r="M69" s="138">
        <f t="shared" ref="M69:O69" ca="1" si="65">IFERROR(M28/M18,0)</f>
        <v>0.40235256279885917</v>
      </c>
      <c r="N69" s="138">
        <f t="shared" ca="1" si="65"/>
        <v>0.52486381595866549</v>
      </c>
      <c r="O69" s="138">
        <f t="shared" ca="1" si="65"/>
        <v>0.34581753182444019</v>
      </c>
    </row>
    <row r="70" spans="2:15" x14ac:dyDescent="0.35">
      <c r="B70" t="s">
        <v>774</v>
      </c>
      <c r="C70" s="128">
        <f ca="1">IFERROR(AVERAGE(D70:G70),0)</f>
        <v>-140.83219207520295</v>
      </c>
      <c r="D70" s="128">
        <f t="shared" ca="1" si="64"/>
        <v>-52.925925925925924</v>
      </c>
      <c r="E70" s="128">
        <f t="shared" ca="1" si="64"/>
        <v>-0.27380952380952384</v>
      </c>
      <c r="F70" s="128">
        <f t="shared" ca="1" si="64"/>
        <v>9.1341250436604966</v>
      </c>
      <c r="G70" s="128">
        <f t="shared" ca="1" si="64"/>
        <v>-519.26315789473688</v>
      </c>
      <c r="K70" t="s">
        <v>774</v>
      </c>
      <c r="L70" s="135">
        <f ca="1">IFERROR(L44/L47,0)</f>
        <v>-52.925925925925924</v>
      </c>
      <c r="M70" s="135">
        <f t="shared" ref="M70:O70" ca="1" si="66">IFERROR(M44/M47,0)</f>
        <v>-0.27380952380952384</v>
      </c>
      <c r="N70" s="135">
        <f t="shared" ca="1" si="66"/>
        <v>9.1341250436604966</v>
      </c>
      <c r="O70" s="135">
        <f t="shared" ca="1" si="66"/>
        <v>-519.26315789473688</v>
      </c>
    </row>
    <row r="71" spans="2:15" ht="12" customHeight="1" x14ac:dyDescent="0.35">
      <c r="B71" s="126" t="s">
        <v>775</v>
      </c>
      <c r="C71" s="126"/>
      <c r="D71" s="126"/>
      <c r="E71" s="126"/>
      <c r="F71" s="126"/>
      <c r="G71" s="126"/>
      <c r="K71" s="126" t="s">
        <v>775</v>
      </c>
      <c r="L71" s="126"/>
      <c r="M71" s="126"/>
      <c r="N71" s="126"/>
      <c r="O71" s="126"/>
    </row>
    <row r="72" spans="2:15" x14ac:dyDescent="0.35">
      <c r="B72" t="s">
        <v>776</v>
      </c>
      <c r="C72" s="127">
        <f t="shared" ref="C72:C78" ca="1" si="67">IFERROR(AVERAGE(D72:G72),0)</f>
        <v>0.28596532265082114</v>
      </c>
      <c r="D72" s="127">
        <f t="shared" ref="D72:G78" ca="1" si="68">L72</f>
        <v>0.55848027157712443</v>
      </c>
      <c r="E72" s="127">
        <f t="shared" ca="1" si="68"/>
        <v>-5.0517472991126328E-3</v>
      </c>
      <c r="F72" s="127">
        <f t="shared" ca="1" si="68"/>
        <v>0.36198287601546481</v>
      </c>
      <c r="G72" s="127">
        <f t="shared" ca="1" si="68"/>
        <v>0.22844989030980792</v>
      </c>
      <c r="K72" t="s">
        <v>776</v>
      </c>
      <c r="L72" s="138">
        <f ca="1">IFERROR(L52/L37,0)</f>
        <v>0.55848027157712443</v>
      </c>
      <c r="M72" s="138">
        <f ca="1">IFERROR(M52/M37,0)</f>
        <v>-5.0517472991126328E-3</v>
      </c>
      <c r="N72" s="138">
        <f t="shared" ref="M72:O72" ca="1" si="69">IFERROR(N52/N37,0)</f>
        <v>0.36198287601546481</v>
      </c>
      <c r="O72" s="138">
        <f t="shared" ca="1" si="69"/>
        <v>0.22844989030980792</v>
      </c>
    </row>
    <row r="73" spans="2:15" x14ac:dyDescent="0.35">
      <c r="B73" t="s">
        <v>777</v>
      </c>
      <c r="C73" s="127">
        <f t="shared" ca="1" si="67"/>
        <v>0.32425606462662621</v>
      </c>
      <c r="D73" s="127">
        <f t="shared" ca="1" si="68"/>
        <v>0.62417526839697468</v>
      </c>
      <c r="E73" s="127">
        <f t="shared" ca="1" si="68"/>
        <v>-4.3516924299472119E-4</v>
      </c>
      <c r="F73" s="127">
        <f t="shared" ca="1" si="68"/>
        <v>0.40933210199258063</v>
      </c>
      <c r="G73" s="127">
        <f t="shared" ca="1" si="68"/>
        <v>0.26395205735994437</v>
      </c>
      <c r="K73" t="s">
        <v>777</v>
      </c>
      <c r="L73" s="138">
        <f ca="1">IFERROR(L44/L37,0)</f>
        <v>0.62417526839697468</v>
      </c>
      <c r="M73" s="138">
        <f ca="1">IFERROR(M44/M37,0)</f>
        <v>-4.3516924299472119E-4</v>
      </c>
      <c r="N73" s="138">
        <f t="shared" ref="M73:O73" ca="1" si="70">IFERROR(N44/N37,0)</f>
        <v>0.40933210199258063</v>
      </c>
      <c r="O73" s="138">
        <f t="shared" ca="1" si="70"/>
        <v>0.26395205735994437</v>
      </c>
    </row>
    <row r="74" spans="2:15" x14ac:dyDescent="0.35">
      <c r="B74" t="s">
        <v>778</v>
      </c>
      <c r="C74" s="127">
        <f t="shared" ca="1" si="67"/>
        <v>0.2225188657785597</v>
      </c>
      <c r="D74" s="127">
        <f t="shared" ca="1" si="68"/>
        <v>0.65304074336251472</v>
      </c>
      <c r="E74" s="127">
        <f t="shared" ca="1" si="68"/>
        <v>-1.2628352780365986E-3</v>
      </c>
      <c r="F74" s="127">
        <f t="shared" ca="1" si="68"/>
        <v>0.13516704463095877</v>
      </c>
      <c r="G74" s="127">
        <f t="shared" ca="1" si="68"/>
        <v>0.1031305103988019</v>
      </c>
      <c r="K74" t="s">
        <v>778</v>
      </c>
      <c r="L74" s="138">
        <f ca="1">IFERROR(L52/L18,0)</f>
        <v>0.65304074336251472</v>
      </c>
      <c r="M74" s="138">
        <f ca="1">IFERROR(M52/M18,0)</f>
        <v>-1.2628352780365986E-3</v>
      </c>
      <c r="N74" s="138">
        <f t="shared" ref="M74:O74" ca="1" si="71">IFERROR(N52/N18,0)</f>
        <v>0.13516704463095877</v>
      </c>
      <c r="O74" s="138">
        <f t="shared" ca="1" si="71"/>
        <v>0.1031305103988019</v>
      </c>
    </row>
    <row r="75" spans="2:15" x14ac:dyDescent="0.35">
      <c r="B75" t="s">
        <v>63</v>
      </c>
      <c r="C75" s="127">
        <f t="shared" ca="1" si="67"/>
        <v>0.33968609024112073</v>
      </c>
      <c r="D75" s="127">
        <f t="shared" ca="1" si="68"/>
        <v>0.9187288060811577</v>
      </c>
      <c r="E75" s="127">
        <f t="shared" ca="1" si="68"/>
        <v>-2.1130104463437799E-3</v>
      </c>
      <c r="F75" s="127">
        <f t="shared" ca="1" si="68"/>
        <v>0.2844806377011268</v>
      </c>
      <c r="G75" s="127">
        <f t="shared" ca="1" si="68"/>
        <v>0.15764792762854241</v>
      </c>
      <c r="K75" t="s">
        <v>63</v>
      </c>
      <c r="L75" s="138">
        <f ca="1">IFERROR(L52/L32,0)</f>
        <v>0.9187288060811577</v>
      </c>
      <c r="M75" s="138">
        <f ca="1">IFERROR(M52/M32,0)</f>
        <v>-2.1130104463437799E-3</v>
      </c>
      <c r="N75" s="138">
        <f t="shared" ref="M75:O75" ca="1" si="72">IFERROR(N52/N32,0)</f>
        <v>0.2844806377011268</v>
      </c>
      <c r="O75" s="138">
        <f t="shared" ca="1" si="72"/>
        <v>0.15764792762854241</v>
      </c>
    </row>
    <row r="76" spans="2:15" x14ac:dyDescent="0.35">
      <c r="B76" t="s">
        <v>779</v>
      </c>
      <c r="C76" s="127">
        <f t="shared" ca="1" si="67"/>
        <v>0.27831606768555039</v>
      </c>
      <c r="D76" s="127">
        <f t="shared" ca="1" si="68"/>
        <v>0.80474207714557366</v>
      </c>
      <c r="E76" s="127">
        <f t="shared" ca="1" si="68"/>
        <v>-2.2190684732021427E-6</v>
      </c>
      <c r="F76" s="127">
        <f t="shared" ca="1" si="68"/>
        <v>0.18171231563230764</v>
      </c>
      <c r="G76" s="127">
        <f t="shared" ca="1" si="68"/>
        <v>0.12681209703279361</v>
      </c>
      <c r="K76" t="s">
        <v>779</v>
      </c>
      <c r="L76" s="138">
        <f ca="1">IFERROR((L44*(1-IFERROR(L50/L49,0)))/(L21+L25+L32),0)</f>
        <v>0.80474207714557366</v>
      </c>
      <c r="M76" s="138">
        <f ca="1">IFERROR((M44*(1-IFERROR(M50/M49,0)))/(M21+M25+M32),0)</f>
        <v>-2.2190684732021427E-6</v>
      </c>
      <c r="N76" s="138">
        <f t="shared" ref="M76:O76" ca="1" si="73">IFERROR((N44*(1-IFERROR(N50/N49,0)))/(N21+N25+N32),0)</f>
        <v>0.18171231563230764</v>
      </c>
      <c r="O76" s="138">
        <f t="shared" ca="1" si="73"/>
        <v>0.12681209703279361</v>
      </c>
    </row>
    <row r="77" spans="2:15" x14ac:dyDescent="0.35">
      <c r="B77" t="s">
        <v>780</v>
      </c>
      <c r="C77" s="127">
        <f t="shared" ca="1" si="67"/>
        <v>0.29196229984530375</v>
      </c>
      <c r="D77" s="127">
        <f t="shared" ca="1" si="68"/>
        <v>0.83149893429776867</v>
      </c>
      <c r="E77" s="127">
        <f t="shared" ca="1" si="68"/>
        <v>-2.3194290273199334E-6</v>
      </c>
      <c r="F77" s="127">
        <f t="shared" ca="1" si="68"/>
        <v>0.19507163455577378</v>
      </c>
      <c r="G77" s="127">
        <f t="shared" ca="1" si="68"/>
        <v>0.14128094995669993</v>
      </c>
      <c r="K77" t="s">
        <v>780</v>
      </c>
      <c r="L77" s="138">
        <f ca="1">IFERROR((L44*(1-IFERROR(L50/L49,0)))/(L17+(L11-L6-L23)),0)</f>
        <v>0.83149893429776867</v>
      </c>
      <c r="M77" s="138">
        <f ca="1">IFERROR((M44*(1-IFERROR(M50/M49,0)))/(M17+(M11-M6-M23)),0)</f>
        <v>-2.3194290273199334E-6</v>
      </c>
      <c r="N77" s="138">
        <f t="shared" ref="M77:O77" ca="1" si="74">IFERROR((N44*(1-IFERROR(N50/N49,0)))/(N17+(N11-N6-N23)),0)</f>
        <v>0.19507163455577378</v>
      </c>
      <c r="O77" s="138">
        <f t="shared" ca="1" si="74"/>
        <v>0.14128094995669993</v>
      </c>
    </row>
    <row r="78" spans="2:15" x14ac:dyDescent="0.35">
      <c r="B78" t="s">
        <v>781</v>
      </c>
      <c r="C78" s="127">
        <f t="shared" ca="1" si="67"/>
        <v>0.2629334240292811</v>
      </c>
      <c r="D78" s="127">
        <f t="shared" ca="1" si="68"/>
        <v>0.75516073019443219</v>
      </c>
      <c r="E78" s="127">
        <f t="shared" ca="1" si="68"/>
        <v>-2.1354650616882608E-6</v>
      </c>
      <c r="F78" s="127">
        <f t="shared" ca="1" si="68"/>
        <v>0.1743879914103445</v>
      </c>
      <c r="G78" s="127">
        <f t="shared" ca="1" si="68"/>
        <v>0.12218710997740945</v>
      </c>
      <c r="K78" t="s">
        <v>781</v>
      </c>
      <c r="L78" s="138">
        <f ca="1">IFERROR((L44*(1-IFERROR(L50/L49,0)))/(L18-L23),0)</f>
        <v>0.75516073019443219</v>
      </c>
      <c r="M78" s="138">
        <f ca="1">IFERROR((M44*(1-IFERROR(M50/M49,0)))/(M18-M23),0)</f>
        <v>-2.1354650616882608E-6</v>
      </c>
      <c r="N78" s="138">
        <f t="shared" ref="M78:O78" ca="1" si="75">IFERROR((N44*(1-IFERROR(N50/N49,0)))/(N18-N23),0)</f>
        <v>0.1743879914103445</v>
      </c>
      <c r="O78" s="138">
        <f t="shared" ca="1" si="75"/>
        <v>0.12218710997740945</v>
      </c>
    </row>
  </sheetData>
  <conditionalFormatting sqref="C34:G34">
    <cfRule type="expression" dxfId="32" priority="7">
      <formula>ABS(C34)&gt;0.1</formula>
    </cfRule>
  </conditionalFormatting>
  <conditionalFormatting sqref="L12:O12">
    <cfRule type="expression" dxfId="25" priority="1">
      <formula>ABS(L12)&gt;0.01</formula>
    </cfRule>
  </conditionalFormatting>
  <conditionalFormatting sqref="L19:O19">
    <cfRule type="expression" dxfId="24" priority="2">
      <formula>ABS(L19)&gt;0.01</formula>
    </cfRule>
  </conditionalFormatting>
  <conditionalFormatting sqref="L24:O24">
    <cfRule type="expression" dxfId="23" priority="3">
      <formula>ABS(L24)&gt;0.01</formula>
    </cfRule>
  </conditionalFormatting>
  <conditionalFormatting sqref="L29:O29">
    <cfRule type="expression" dxfId="22" priority="4">
      <formula>ABS(L29)&gt;0.01</formula>
    </cfRule>
  </conditionalFormatting>
  <conditionalFormatting sqref="L34:O34">
    <cfRule type="expression" dxfId="21" priority="5">
      <formula>ABS(L34)&gt;0.01</formula>
    </cfRule>
  </conditionalFormatting>
  <conditionalFormatting sqref="L53:O53">
    <cfRule type="expression" dxfId="20" priority="6">
      <formula>ABS(L53)&gt;0.01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2"/>
  <sheetViews>
    <sheetView workbookViewId="0"/>
  </sheetViews>
  <sheetFormatPr defaultRowHeight="14.5" x14ac:dyDescent="0.35"/>
  <cols>
    <col min="1" max="1" width="90.81640625" style="11" customWidth="1"/>
    <col min="2" max="2" width="35.81640625" style="11" customWidth="1"/>
    <col min="3" max="3" width="9.6328125" style="11" customWidth="1"/>
    <col min="4" max="16384" width="8.7265625" style="11"/>
  </cols>
  <sheetData>
    <row r="1" spans="1:3" ht="6.65" customHeight="1" x14ac:dyDescent="0.35">
      <c r="A1" s="34" t="s">
        <v>94</v>
      </c>
      <c r="B1" s="35"/>
      <c r="C1" s="35"/>
    </row>
    <row r="2" spans="1:3" ht="6.65" customHeight="1" x14ac:dyDescent="0.35">
      <c r="A2" s="36" t="s">
        <v>95</v>
      </c>
      <c r="B2" s="37" t="s">
        <v>563</v>
      </c>
      <c r="C2"/>
    </row>
    <row r="3" spans="1:3" x14ac:dyDescent="0.35">
      <c r="A3" s="36" t="s">
        <v>97</v>
      </c>
      <c r="B3" s="36" t="s">
        <v>98</v>
      </c>
      <c r="C3"/>
    </row>
    <row r="4" spans="1:3" x14ac:dyDescent="0.35">
      <c r="A4" s="36" t="s">
        <v>99</v>
      </c>
      <c r="B4" s="36" t="s">
        <v>98</v>
      </c>
      <c r="C4"/>
    </row>
    <row r="5" spans="1:3" x14ac:dyDescent="0.35">
      <c r="A5" s="36" t="s">
        <v>100</v>
      </c>
      <c r="B5" s="36" t="s">
        <v>564</v>
      </c>
      <c r="C5"/>
    </row>
    <row r="6" spans="1:3" x14ac:dyDescent="0.35">
      <c r="A6" s="36" t="s">
        <v>101</v>
      </c>
      <c r="B6" s="36" t="s">
        <v>102</v>
      </c>
      <c r="C6"/>
    </row>
    <row r="7" spans="1:3" x14ac:dyDescent="0.35">
      <c r="A7" s="36" t="s">
        <v>103</v>
      </c>
      <c r="B7" s="36" t="s">
        <v>104</v>
      </c>
      <c r="C7"/>
    </row>
    <row r="8" spans="1:3" x14ac:dyDescent="0.35">
      <c r="A8" s="36" t="s">
        <v>105</v>
      </c>
      <c r="B8" s="36" t="s">
        <v>106</v>
      </c>
      <c r="C8"/>
    </row>
    <row r="9" spans="1:3" x14ac:dyDescent="0.35">
      <c r="A9" s="36" t="s">
        <v>107</v>
      </c>
      <c r="B9" s="36" t="s">
        <v>108</v>
      </c>
      <c r="C9"/>
    </row>
    <row r="10" spans="1:3" x14ac:dyDescent="0.35">
      <c r="A10" s="36" t="s">
        <v>109</v>
      </c>
      <c r="B10" s="38">
        <v>46295.602195289401</v>
      </c>
      <c r="C10"/>
    </row>
    <row r="11" spans="1:3" x14ac:dyDescent="0.35">
      <c r="A11" s="39" t="s">
        <v>110</v>
      </c>
      <c r="B11" s="40" t="s">
        <v>111</v>
      </c>
      <c r="C11" s="40" t="s">
        <v>112</v>
      </c>
    </row>
    <row r="12" spans="1:3" ht="6.65" customHeight="1" x14ac:dyDescent="0.35">
      <c r="A12" s="41" t="s">
        <v>113</v>
      </c>
      <c r="B12" s="42">
        <v>45319</v>
      </c>
      <c r="C12" s="42">
        <v>45683</v>
      </c>
    </row>
    <row r="13" spans="1:3" x14ac:dyDescent="0.35">
      <c r="A13" s="41" t="s">
        <v>114</v>
      </c>
      <c r="B13" s="42" t="s">
        <v>115</v>
      </c>
      <c r="C13" s="42" t="s">
        <v>115</v>
      </c>
    </row>
    <row r="14" spans="1:3" x14ac:dyDescent="0.35">
      <c r="A14" s="43" t="s">
        <v>116</v>
      </c>
      <c r="B14" s="39"/>
      <c r="C14" s="39"/>
    </row>
    <row r="15" spans="1:3" x14ac:dyDescent="0.35">
      <c r="A15" s="43" t="s">
        <v>117</v>
      </c>
      <c r="B15" s="44" t="s">
        <v>565</v>
      </c>
      <c r="C15" s="44" t="s">
        <v>566</v>
      </c>
    </row>
    <row r="16" spans="1:3" ht="6.65" customHeight="1" x14ac:dyDescent="0.35">
      <c r="A16" s="45" t="s">
        <v>120</v>
      </c>
      <c r="B16" s="46"/>
      <c r="C16" s="46"/>
    </row>
    <row r="17" spans="1:3" ht="6.65" customHeight="1" x14ac:dyDescent="0.35">
      <c r="A17" s="47" t="s">
        <v>121</v>
      </c>
      <c r="B17" s="50">
        <v>25984</v>
      </c>
      <c r="C17" s="50">
        <v>43210</v>
      </c>
    </row>
    <row r="18" spans="1:3" ht="6.65" customHeight="1" x14ac:dyDescent="0.35">
      <c r="A18" s="49" t="s">
        <v>12</v>
      </c>
      <c r="B18" s="48">
        <v>7280</v>
      </c>
      <c r="C18" s="48">
        <v>8589</v>
      </c>
    </row>
    <row r="19" spans="1:3" ht="6.65" customHeight="1" x14ac:dyDescent="0.35">
      <c r="A19" s="49" t="s">
        <v>14</v>
      </c>
      <c r="B19" s="50">
        <v>18704</v>
      </c>
      <c r="C19" s="50">
        <v>34621</v>
      </c>
    </row>
    <row r="20" spans="1:3" ht="6.65" customHeight="1" x14ac:dyDescent="0.35">
      <c r="A20" s="47" t="s">
        <v>122</v>
      </c>
      <c r="B20" s="48">
        <v>9999</v>
      </c>
      <c r="C20" s="50">
        <v>23065</v>
      </c>
    </row>
    <row r="21" spans="1:3" ht="6.65" customHeight="1" x14ac:dyDescent="0.35">
      <c r="A21" s="49" t="s">
        <v>16</v>
      </c>
      <c r="B21" s="48">
        <v>9999</v>
      </c>
      <c r="C21" s="50">
        <v>23065</v>
      </c>
    </row>
    <row r="22" spans="1:3" ht="6.65" customHeight="1" x14ac:dyDescent="0.35">
      <c r="A22" s="49" t="s">
        <v>123</v>
      </c>
      <c r="B22" s="50">
        <v>10003</v>
      </c>
      <c r="C22" s="50">
        <v>23069</v>
      </c>
    </row>
    <row r="23" spans="1:3" ht="6.65" customHeight="1" x14ac:dyDescent="0.35">
      <c r="A23" s="49" t="s">
        <v>124</v>
      </c>
      <c r="B23" s="51">
        <v>4</v>
      </c>
      <c r="C23" s="51">
        <v>4</v>
      </c>
    </row>
    <row r="24" spans="1:3" ht="6.65" customHeight="1" x14ac:dyDescent="0.35">
      <c r="A24" s="47" t="s">
        <v>18</v>
      </c>
      <c r="B24" s="48">
        <v>5282</v>
      </c>
      <c r="C24" s="50">
        <v>10080</v>
      </c>
    </row>
    <row r="25" spans="1:3" ht="6.65" customHeight="1" x14ac:dyDescent="0.35">
      <c r="A25" s="49" t="s">
        <v>125</v>
      </c>
      <c r="B25" s="48">
        <v>1719</v>
      </c>
      <c r="C25" s="48">
        <v>3408</v>
      </c>
    </row>
    <row r="26" spans="1:3" ht="6.65" customHeight="1" x14ac:dyDescent="0.35">
      <c r="A26" s="49" t="s">
        <v>499</v>
      </c>
      <c r="B26" s="48">
        <v>1505</v>
      </c>
      <c r="C26" s="48">
        <v>3399</v>
      </c>
    </row>
    <row r="27" spans="1:3" ht="6.65" customHeight="1" x14ac:dyDescent="0.35">
      <c r="A27" s="49" t="s">
        <v>126</v>
      </c>
      <c r="B27" s="48">
        <v>2058</v>
      </c>
      <c r="C27" s="48">
        <v>3273</v>
      </c>
    </row>
    <row r="28" spans="1:3" ht="6.65" customHeight="1" x14ac:dyDescent="0.35">
      <c r="A28" s="47" t="s">
        <v>127</v>
      </c>
      <c r="B28" s="48">
        <v>3080</v>
      </c>
      <c r="C28" s="48">
        <v>3771</v>
      </c>
    </row>
    <row r="29" spans="1:3" ht="6.65" customHeight="1" x14ac:dyDescent="0.35">
      <c r="A29" s="52" t="s">
        <v>22</v>
      </c>
      <c r="B29" s="53">
        <v>44345</v>
      </c>
      <c r="C29" s="53">
        <v>80126</v>
      </c>
    </row>
    <row r="30" spans="1:3" ht="6.65" customHeight="1" x14ac:dyDescent="0.35">
      <c r="A30" s="45" t="s">
        <v>128</v>
      </c>
      <c r="B30" s="46"/>
      <c r="C30" s="46"/>
    </row>
    <row r="31" spans="1:3" ht="6.65" customHeight="1" x14ac:dyDescent="0.35">
      <c r="A31" s="47" t="s">
        <v>25</v>
      </c>
      <c r="B31" s="50"/>
      <c r="C31" s="48">
        <v>3387</v>
      </c>
    </row>
    <row r="32" spans="1:3" ht="6.65" customHeight="1" x14ac:dyDescent="0.35">
      <c r="A32" s="49" t="s">
        <v>129</v>
      </c>
      <c r="B32" s="50"/>
      <c r="C32" s="48">
        <v>3387</v>
      </c>
    </row>
    <row r="33" spans="1:3" ht="6.65" customHeight="1" x14ac:dyDescent="0.35">
      <c r="A33" s="47" t="s">
        <v>130</v>
      </c>
      <c r="B33" s="48">
        <v>1546</v>
      </c>
      <c r="C33" s="50"/>
    </row>
    <row r="34" spans="1:3" ht="6.65" customHeight="1" x14ac:dyDescent="0.35">
      <c r="A34" s="47" t="s">
        <v>131</v>
      </c>
      <c r="B34" s="50"/>
      <c r="C34" s="48">
        <v>750</v>
      </c>
    </row>
    <row r="35" spans="1:3" ht="6.65" customHeight="1" x14ac:dyDescent="0.35">
      <c r="A35" s="49" t="s">
        <v>457</v>
      </c>
      <c r="B35" s="50"/>
      <c r="C35" s="48">
        <v>750</v>
      </c>
    </row>
    <row r="36" spans="1:3" ht="6.65" customHeight="1" x14ac:dyDescent="0.35">
      <c r="A36" s="47" t="s">
        <v>27</v>
      </c>
      <c r="B36" s="48">
        <v>5260</v>
      </c>
      <c r="C36" s="48">
        <v>8076</v>
      </c>
    </row>
    <row r="37" spans="1:3" ht="6.65" customHeight="1" x14ac:dyDescent="0.35">
      <c r="A37" s="49" t="s">
        <v>133</v>
      </c>
      <c r="B37" s="48">
        <v>5260</v>
      </c>
      <c r="C37" s="48">
        <v>8076</v>
      </c>
    </row>
    <row r="38" spans="1:3" ht="6.65" customHeight="1" x14ac:dyDescent="0.35">
      <c r="A38" s="49" t="s">
        <v>134</v>
      </c>
      <c r="B38" s="48">
        <v>8769</v>
      </c>
      <c r="C38" s="50">
        <v>12477</v>
      </c>
    </row>
    <row r="39" spans="1:3" ht="6.65" customHeight="1" x14ac:dyDescent="0.35">
      <c r="A39" s="49" t="s">
        <v>135</v>
      </c>
      <c r="B39" s="48">
        <v>8769</v>
      </c>
      <c r="C39" s="50">
        <v>12477</v>
      </c>
    </row>
    <row r="40" spans="1:3" ht="6.65" customHeight="1" x14ac:dyDescent="0.35">
      <c r="A40" s="49" t="s">
        <v>458</v>
      </c>
      <c r="B40" s="48">
        <v>2034</v>
      </c>
      <c r="C40" s="48">
        <v>2587</v>
      </c>
    </row>
    <row r="41" spans="1:3" ht="6.65" customHeight="1" x14ac:dyDescent="0.35">
      <c r="A41" s="49" t="s">
        <v>459</v>
      </c>
      <c r="B41" s="48">
        <v>218</v>
      </c>
      <c r="C41" s="48">
        <v>511</v>
      </c>
    </row>
    <row r="42" spans="1:3" ht="6.65" customHeight="1" x14ac:dyDescent="0.35">
      <c r="A42" s="49" t="s">
        <v>460</v>
      </c>
      <c r="B42" s="48">
        <v>1816</v>
      </c>
      <c r="C42" s="48">
        <v>2076</v>
      </c>
    </row>
    <row r="43" spans="1:3" ht="6.65" customHeight="1" x14ac:dyDescent="0.35">
      <c r="A43" s="49" t="s">
        <v>447</v>
      </c>
      <c r="B43" s="48">
        <v>5200</v>
      </c>
      <c r="C43" s="48">
        <v>7568</v>
      </c>
    </row>
    <row r="44" spans="1:3" ht="6.65" customHeight="1" x14ac:dyDescent="0.35">
      <c r="A44" s="49" t="s">
        <v>462</v>
      </c>
      <c r="B44" s="48">
        <v>189</v>
      </c>
      <c r="C44" s="48">
        <v>529</v>
      </c>
    </row>
    <row r="45" spans="1:3" ht="6.65" customHeight="1" x14ac:dyDescent="0.35">
      <c r="A45" s="49" t="s">
        <v>136</v>
      </c>
      <c r="B45" s="48">
        <v>1346</v>
      </c>
      <c r="C45" s="48">
        <v>1793</v>
      </c>
    </row>
    <row r="46" spans="1:3" ht="6.65" customHeight="1" x14ac:dyDescent="0.35">
      <c r="A46" s="49" t="s">
        <v>137</v>
      </c>
      <c r="B46" s="48">
        <v>1346</v>
      </c>
      <c r="C46" s="48">
        <v>1793</v>
      </c>
    </row>
    <row r="47" spans="1:3" ht="6.65" customHeight="1" x14ac:dyDescent="0.35">
      <c r="A47" s="49" t="s">
        <v>139</v>
      </c>
      <c r="B47" s="48">
        <v>3509</v>
      </c>
      <c r="C47" s="48">
        <v>4401</v>
      </c>
    </row>
    <row r="48" spans="1:3" ht="6.65" customHeight="1" x14ac:dyDescent="0.35">
      <c r="A48" s="49" t="s">
        <v>140</v>
      </c>
      <c r="B48" s="48">
        <v>3509</v>
      </c>
      <c r="C48" s="48">
        <v>4401</v>
      </c>
    </row>
    <row r="49" spans="1:3" ht="6.65" customHeight="1" x14ac:dyDescent="0.35">
      <c r="A49" s="47" t="s">
        <v>141</v>
      </c>
      <c r="B49" s="48">
        <v>9035</v>
      </c>
      <c r="C49" s="50">
        <v>13267</v>
      </c>
    </row>
    <row r="50" spans="1:3" ht="6.65" customHeight="1" x14ac:dyDescent="0.35">
      <c r="A50" s="49" t="s">
        <v>419</v>
      </c>
      <c r="B50" s="48">
        <v>6081</v>
      </c>
      <c r="C50" s="50">
        <v>10979</v>
      </c>
    </row>
    <row r="51" spans="1:3" ht="6.65" customHeight="1" x14ac:dyDescent="0.35">
      <c r="A51" s="49" t="s">
        <v>514</v>
      </c>
      <c r="B51" s="48">
        <v>2822</v>
      </c>
      <c r="C51" s="48">
        <v>2087</v>
      </c>
    </row>
    <row r="52" spans="1:3" ht="6.65" customHeight="1" x14ac:dyDescent="0.35">
      <c r="A52" s="49" t="s">
        <v>31</v>
      </c>
      <c r="B52" s="48">
        <v>132</v>
      </c>
      <c r="C52" s="48">
        <v>201</v>
      </c>
    </row>
    <row r="53" spans="1:3" ht="6.65" customHeight="1" x14ac:dyDescent="0.35">
      <c r="A53" s="47" t="s">
        <v>29</v>
      </c>
      <c r="B53" s="48">
        <v>5542</v>
      </c>
      <c r="C53" s="48">
        <v>5995</v>
      </c>
    </row>
    <row r="54" spans="1:3" ht="6.65" customHeight="1" x14ac:dyDescent="0.35">
      <c r="A54" s="49" t="s">
        <v>421</v>
      </c>
      <c r="B54" s="48">
        <v>4430</v>
      </c>
      <c r="C54" s="48">
        <v>5188</v>
      </c>
    </row>
    <row r="55" spans="1:3" ht="6.65" customHeight="1" x14ac:dyDescent="0.35">
      <c r="A55" s="49" t="s">
        <v>464</v>
      </c>
      <c r="B55" s="48">
        <v>1112</v>
      </c>
      <c r="C55" s="48">
        <v>807</v>
      </c>
    </row>
    <row r="56" spans="1:3" ht="6.65" customHeight="1" x14ac:dyDescent="0.35">
      <c r="A56" s="49" t="s">
        <v>490</v>
      </c>
      <c r="B56" s="48">
        <v>190</v>
      </c>
      <c r="C56" s="48">
        <v>171</v>
      </c>
    </row>
    <row r="57" spans="1:3" ht="6.65" customHeight="1" x14ac:dyDescent="0.35">
      <c r="A57" s="49" t="s">
        <v>491</v>
      </c>
      <c r="B57" s="48">
        <v>922</v>
      </c>
      <c r="C57" s="48">
        <v>636</v>
      </c>
    </row>
    <row r="58" spans="1:3" ht="6.65" customHeight="1" x14ac:dyDescent="0.35">
      <c r="A58" s="52" t="s">
        <v>33</v>
      </c>
      <c r="B58" s="53">
        <v>21383</v>
      </c>
      <c r="C58" s="53">
        <v>31475</v>
      </c>
    </row>
    <row r="59" spans="1:3" ht="6.65" customHeight="1" x14ac:dyDescent="0.35">
      <c r="A59" s="45" t="s">
        <v>35</v>
      </c>
      <c r="B59" s="46"/>
      <c r="C59" s="46"/>
    </row>
    <row r="60" spans="1:3" ht="6.65" customHeight="1" x14ac:dyDescent="0.35">
      <c r="A60" s="52" t="s">
        <v>35</v>
      </c>
      <c r="B60" s="53">
        <v>65728</v>
      </c>
      <c r="C60" s="53">
        <v>111601</v>
      </c>
    </row>
    <row r="61" spans="1:3" ht="6.65" customHeight="1" x14ac:dyDescent="0.35">
      <c r="A61" s="45" t="s">
        <v>143</v>
      </c>
      <c r="B61" s="46"/>
      <c r="C61" s="46"/>
    </row>
    <row r="62" spans="1:3" ht="6.65" customHeight="1" x14ac:dyDescent="0.35">
      <c r="A62" s="47" t="s">
        <v>144</v>
      </c>
      <c r="B62" s="48">
        <v>7479</v>
      </c>
      <c r="C62" s="50">
        <v>14440</v>
      </c>
    </row>
    <row r="63" spans="1:3" ht="6.65" customHeight="1" x14ac:dyDescent="0.35">
      <c r="A63" s="49" t="s">
        <v>37</v>
      </c>
      <c r="B63" s="48">
        <v>2699</v>
      </c>
      <c r="C63" s="48">
        <v>6310</v>
      </c>
    </row>
    <row r="64" spans="1:3" ht="6.65" customHeight="1" x14ac:dyDescent="0.35">
      <c r="A64" s="49" t="s">
        <v>145</v>
      </c>
      <c r="B64" s="48">
        <v>4780</v>
      </c>
      <c r="C64" s="48">
        <v>8130</v>
      </c>
    </row>
    <row r="65" spans="1:3" ht="6.65" customHeight="1" x14ac:dyDescent="0.35">
      <c r="A65" s="47" t="s">
        <v>39</v>
      </c>
      <c r="B65" s="48">
        <v>1250</v>
      </c>
      <c r="C65" s="50">
        <v>0</v>
      </c>
    </row>
    <row r="66" spans="1:3" ht="6.65" customHeight="1" x14ac:dyDescent="0.35">
      <c r="A66" s="49" t="s">
        <v>146</v>
      </c>
      <c r="B66" s="48">
        <v>1250</v>
      </c>
      <c r="C66" s="50">
        <v>0</v>
      </c>
    </row>
    <row r="67" spans="1:3" ht="6.65" customHeight="1" x14ac:dyDescent="0.35">
      <c r="A67" s="49" t="s">
        <v>147</v>
      </c>
      <c r="B67" s="48">
        <v>1250</v>
      </c>
      <c r="C67" s="50">
        <v>0</v>
      </c>
    </row>
    <row r="68" spans="1:3" ht="6.65" customHeight="1" x14ac:dyDescent="0.35">
      <c r="A68" s="47" t="s">
        <v>149</v>
      </c>
      <c r="B68" s="48">
        <v>296</v>
      </c>
      <c r="C68" s="48">
        <v>881</v>
      </c>
    </row>
    <row r="69" spans="1:3" ht="6.65" customHeight="1" x14ac:dyDescent="0.35">
      <c r="A69" s="47" t="s">
        <v>150</v>
      </c>
      <c r="B69" s="48">
        <v>228</v>
      </c>
      <c r="C69" s="48">
        <v>288</v>
      </c>
    </row>
    <row r="70" spans="1:3" ht="6.65" customHeight="1" x14ac:dyDescent="0.35">
      <c r="A70" s="47" t="s">
        <v>423</v>
      </c>
      <c r="B70" s="48">
        <v>1378</v>
      </c>
      <c r="C70" s="48">
        <v>2438</v>
      </c>
    </row>
    <row r="71" spans="1:3" ht="6.65" customHeight="1" x14ac:dyDescent="0.35">
      <c r="A71" s="49" t="s">
        <v>465</v>
      </c>
      <c r="B71" s="48">
        <v>764</v>
      </c>
      <c r="C71" s="48">
        <v>837</v>
      </c>
    </row>
    <row r="72" spans="1:3" ht="6.65" customHeight="1" x14ac:dyDescent="0.35">
      <c r="A72" s="49" t="s">
        <v>466</v>
      </c>
      <c r="B72" s="48">
        <v>415</v>
      </c>
      <c r="C72" s="48">
        <v>1373</v>
      </c>
    </row>
    <row r="73" spans="1:3" ht="6.65" customHeight="1" x14ac:dyDescent="0.35">
      <c r="A73" s="49" t="s">
        <v>41</v>
      </c>
      <c r="B73" s="48">
        <v>199</v>
      </c>
      <c r="C73" s="48">
        <v>228</v>
      </c>
    </row>
    <row r="74" spans="1:3" ht="6.65" customHeight="1" x14ac:dyDescent="0.35">
      <c r="A74" s="52" t="s">
        <v>43</v>
      </c>
      <c r="B74" s="53">
        <v>10631</v>
      </c>
      <c r="C74" s="53">
        <v>18047</v>
      </c>
    </row>
    <row r="75" spans="1:3" ht="6.65" customHeight="1" x14ac:dyDescent="0.35">
      <c r="A75" s="45" t="s">
        <v>151</v>
      </c>
      <c r="B75" s="46"/>
      <c r="C75" s="46"/>
    </row>
    <row r="76" spans="1:3" ht="6.65" customHeight="1" x14ac:dyDescent="0.35">
      <c r="A76" s="47" t="s">
        <v>45</v>
      </c>
      <c r="B76" s="48">
        <v>8459</v>
      </c>
      <c r="C76" s="48">
        <v>8463</v>
      </c>
    </row>
    <row r="77" spans="1:3" ht="6.65" customHeight="1" x14ac:dyDescent="0.35">
      <c r="A77" s="49" t="s">
        <v>152</v>
      </c>
      <c r="B77" s="48">
        <v>8459</v>
      </c>
      <c r="C77" s="48">
        <v>8463</v>
      </c>
    </row>
    <row r="78" spans="1:3" ht="6.65" customHeight="1" x14ac:dyDescent="0.35">
      <c r="A78" s="49" t="s">
        <v>153</v>
      </c>
      <c r="B78" s="48">
        <v>8459</v>
      </c>
      <c r="C78" s="48">
        <v>8463</v>
      </c>
    </row>
    <row r="79" spans="1:3" ht="6.65" customHeight="1" x14ac:dyDescent="0.35">
      <c r="A79" s="47" t="s">
        <v>155</v>
      </c>
      <c r="B79" s="48">
        <v>462</v>
      </c>
      <c r="C79" s="48">
        <v>886</v>
      </c>
    </row>
    <row r="80" spans="1:3" ht="6.65" customHeight="1" x14ac:dyDescent="0.35">
      <c r="A80" s="49" t="s">
        <v>156</v>
      </c>
      <c r="B80" s="48">
        <v>462</v>
      </c>
      <c r="C80" s="48">
        <v>886</v>
      </c>
    </row>
    <row r="81" spans="1:3" ht="6.65" customHeight="1" x14ac:dyDescent="0.35">
      <c r="A81" s="47" t="s">
        <v>157</v>
      </c>
      <c r="B81" s="48">
        <v>1119</v>
      </c>
      <c r="C81" s="48">
        <v>1519</v>
      </c>
    </row>
    <row r="82" spans="1:3" ht="6.65" customHeight="1" x14ac:dyDescent="0.35">
      <c r="A82" s="47" t="s">
        <v>158</v>
      </c>
      <c r="B82" s="48">
        <v>2079</v>
      </c>
      <c r="C82" s="48">
        <v>3359</v>
      </c>
    </row>
    <row r="83" spans="1:3" ht="6.65" customHeight="1" x14ac:dyDescent="0.35">
      <c r="A83" s="49" t="s">
        <v>523</v>
      </c>
      <c r="B83" s="48">
        <v>573</v>
      </c>
      <c r="C83" s="48">
        <v>976</v>
      </c>
    </row>
    <row r="84" spans="1:3" ht="6.65" customHeight="1" x14ac:dyDescent="0.35">
      <c r="A84" s="49" t="s">
        <v>47</v>
      </c>
      <c r="B84" s="48">
        <v>1506</v>
      </c>
      <c r="C84" s="48">
        <v>2383</v>
      </c>
    </row>
    <row r="85" spans="1:3" ht="6.65" customHeight="1" x14ac:dyDescent="0.35">
      <c r="A85" s="47" t="s">
        <v>49</v>
      </c>
      <c r="B85" s="50">
        <v>12119</v>
      </c>
      <c r="C85" s="50">
        <v>14227</v>
      </c>
    </row>
    <row r="86" spans="1:3" ht="6.65" customHeight="1" x14ac:dyDescent="0.35">
      <c r="A86" s="45" t="s">
        <v>51</v>
      </c>
      <c r="B86" s="46"/>
      <c r="C86" s="46"/>
    </row>
    <row r="87" spans="1:3" ht="6.65" customHeight="1" x14ac:dyDescent="0.35">
      <c r="A87" s="52" t="s">
        <v>51</v>
      </c>
      <c r="B87" s="53">
        <v>22750</v>
      </c>
      <c r="C87" s="53">
        <v>32274</v>
      </c>
    </row>
    <row r="88" spans="1:3" ht="6.65" customHeight="1" x14ac:dyDescent="0.35">
      <c r="A88" s="45" t="s">
        <v>162</v>
      </c>
      <c r="B88" s="46"/>
      <c r="C88" s="46"/>
    </row>
    <row r="89" spans="1:3" ht="6.65" customHeight="1" x14ac:dyDescent="0.35">
      <c r="A89" s="47" t="s">
        <v>163</v>
      </c>
      <c r="B89" s="50">
        <v>42978</v>
      </c>
      <c r="C89" s="50">
        <v>79327</v>
      </c>
    </row>
    <row r="90" spans="1:3" ht="6.65" customHeight="1" x14ac:dyDescent="0.35">
      <c r="A90" s="49" t="s">
        <v>424</v>
      </c>
      <c r="B90" s="50"/>
      <c r="C90" s="50">
        <v>0</v>
      </c>
    </row>
    <row r="91" spans="1:3" ht="6.65" customHeight="1" x14ac:dyDescent="0.35">
      <c r="A91" s="49" t="s">
        <v>425</v>
      </c>
      <c r="B91" s="50"/>
      <c r="C91" s="50">
        <v>0</v>
      </c>
    </row>
    <row r="92" spans="1:3" ht="6.65" customHeight="1" x14ac:dyDescent="0.35">
      <c r="A92" s="49" t="s">
        <v>164</v>
      </c>
      <c r="B92" s="50">
        <v>42978</v>
      </c>
      <c r="C92" s="50">
        <v>79327</v>
      </c>
    </row>
    <row r="93" spans="1:3" ht="6.65" customHeight="1" x14ac:dyDescent="0.35">
      <c r="A93" s="49" t="s">
        <v>166</v>
      </c>
      <c r="B93" s="50">
        <v>13134</v>
      </c>
      <c r="C93" s="50">
        <v>11261</v>
      </c>
    </row>
    <row r="94" spans="1:3" ht="6.65" customHeight="1" x14ac:dyDescent="0.35">
      <c r="A94" s="49" t="s">
        <v>167</v>
      </c>
      <c r="B94" s="51">
        <v>2</v>
      </c>
      <c r="C94" s="51">
        <v>24</v>
      </c>
    </row>
    <row r="95" spans="1:3" ht="6.65" customHeight="1" x14ac:dyDescent="0.35">
      <c r="A95" s="49" t="s">
        <v>168</v>
      </c>
      <c r="B95" s="50">
        <v>13132</v>
      </c>
      <c r="C95" s="50">
        <v>11237</v>
      </c>
    </row>
    <row r="96" spans="1:3" ht="6.65" customHeight="1" x14ac:dyDescent="0.35">
      <c r="A96" s="49" t="s">
        <v>169</v>
      </c>
      <c r="B96" s="50">
        <v>29844</v>
      </c>
      <c r="C96" s="50">
        <v>68066</v>
      </c>
    </row>
    <row r="97" spans="1:3" ht="6.65" customHeight="1" x14ac:dyDescent="0.35">
      <c r="A97" s="49" t="s">
        <v>170</v>
      </c>
      <c r="B97" s="50">
        <v>29817</v>
      </c>
      <c r="C97" s="50">
        <v>68038</v>
      </c>
    </row>
    <row r="98" spans="1:3" ht="6.65" customHeight="1" x14ac:dyDescent="0.35">
      <c r="A98" s="49" t="s">
        <v>171</v>
      </c>
      <c r="B98" s="51">
        <v>27</v>
      </c>
      <c r="C98" s="51">
        <v>28</v>
      </c>
    </row>
    <row r="99" spans="1:3" x14ac:dyDescent="0.35">
      <c r="A99" s="49" t="s">
        <v>53</v>
      </c>
      <c r="B99" s="50">
        <v>42978</v>
      </c>
      <c r="C99" s="50">
        <v>79327</v>
      </c>
    </row>
    <row r="100" spans="1:3" x14ac:dyDescent="0.35">
      <c r="A100" s="45" t="s">
        <v>176</v>
      </c>
      <c r="B100" s="46"/>
      <c r="C100" s="46"/>
    </row>
    <row r="101" spans="1:3" x14ac:dyDescent="0.35">
      <c r="A101" s="52" t="s">
        <v>57</v>
      </c>
      <c r="B101" s="53">
        <v>42978</v>
      </c>
      <c r="C101" s="53">
        <v>79327</v>
      </c>
    </row>
    <row r="102" spans="1:3" x14ac:dyDescent="0.35">
      <c r="A102" s="45" t="s">
        <v>177</v>
      </c>
      <c r="B102" s="46"/>
      <c r="C102" s="46"/>
    </row>
    <row r="103" spans="1:3" x14ac:dyDescent="0.35">
      <c r="A103" s="52" t="s">
        <v>60</v>
      </c>
      <c r="B103" s="53">
        <v>65728</v>
      </c>
      <c r="C103" s="53">
        <v>111601</v>
      </c>
    </row>
    <row r="104" spans="1:3" x14ac:dyDescent="0.35">
      <c r="A104" s="45" t="s">
        <v>178</v>
      </c>
      <c r="B104" s="46"/>
      <c r="C104" s="46"/>
    </row>
    <row r="105" spans="1:3" x14ac:dyDescent="0.35">
      <c r="A105" s="47" t="s">
        <v>179</v>
      </c>
      <c r="B105" s="50">
        <v>24640</v>
      </c>
      <c r="C105" s="50">
        <v>24477</v>
      </c>
    </row>
    <row r="106" spans="1:3" x14ac:dyDescent="0.35">
      <c r="A106" s="49" t="s">
        <v>180</v>
      </c>
      <c r="B106" s="50">
        <v>24640</v>
      </c>
      <c r="C106" s="50">
        <v>24477</v>
      </c>
    </row>
    <row r="107" spans="1:3" x14ac:dyDescent="0.35">
      <c r="A107" s="49" t="s">
        <v>181</v>
      </c>
      <c r="B107" s="50">
        <v>0</v>
      </c>
      <c r="C107" s="50">
        <v>0</v>
      </c>
    </row>
    <row r="108" spans="1:3" x14ac:dyDescent="0.35">
      <c r="A108" s="47" t="s">
        <v>182</v>
      </c>
      <c r="B108" s="50">
        <v>80000</v>
      </c>
      <c r="C108" s="50">
        <v>80000</v>
      </c>
    </row>
    <row r="109" spans="1:3" x14ac:dyDescent="0.35">
      <c r="A109" s="47" t="s">
        <v>183</v>
      </c>
      <c r="B109" s="50">
        <v>24640</v>
      </c>
      <c r="C109" s="50">
        <v>24477</v>
      </c>
    </row>
    <row r="110" spans="1:3" x14ac:dyDescent="0.35">
      <c r="A110" s="49" t="s">
        <v>184</v>
      </c>
      <c r="B110" s="50">
        <v>24640</v>
      </c>
      <c r="C110" s="50">
        <v>24477</v>
      </c>
    </row>
    <row r="111" spans="1:3" x14ac:dyDescent="0.35">
      <c r="A111" s="49" t="s">
        <v>185</v>
      </c>
      <c r="B111" s="50">
        <v>0</v>
      </c>
      <c r="C111" s="50">
        <v>0</v>
      </c>
    </row>
    <row r="112" spans="1:3" x14ac:dyDescent="0.35">
      <c r="A112" s="45" t="s">
        <v>186</v>
      </c>
      <c r="B112" s="46"/>
      <c r="C112" s="46"/>
    </row>
    <row r="113" spans="1:3" x14ac:dyDescent="0.35">
      <c r="A113" s="47" t="s">
        <v>187</v>
      </c>
      <c r="B113" s="51">
        <v>1</v>
      </c>
      <c r="C113" s="51">
        <v>1</v>
      </c>
    </row>
    <row r="114" spans="1:3" x14ac:dyDescent="0.35">
      <c r="A114" s="45" t="s">
        <v>188</v>
      </c>
      <c r="B114" s="46"/>
      <c r="C114" s="46"/>
    </row>
    <row r="115" spans="1:3" x14ac:dyDescent="0.35">
      <c r="A115" s="47" t="s">
        <v>189</v>
      </c>
      <c r="B115" s="48">
        <v>1346</v>
      </c>
      <c r="C115" s="48">
        <v>1793</v>
      </c>
    </row>
    <row r="116" spans="1:3" x14ac:dyDescent="0.35">
      <c r="A116" s="49" t="s">
        <v>190</v>
      </c>
      <c r="B116" s="48">
        <v>1346</v>
      </c>
      <c r="C116" s="48">
        <v>1793</v>
      </c>
    </row>
    <row r="117" spans="1:3" x14ac:dyDescent="0.35">
      <c r="A117" s="47" t="s">
        <v>192</v>
      </c>
      <c r="B117" s="48">
        <v>3914</v>
      </c>
      <c r="C117" s="48">
        <v>6283</v>
      </c>
    </row>
    <row r="118" spans="1:3" x14ac:dyDescent="0.35">
      <c r="A118" s="45" t="s">
        <v>193</v>
      </c>
      <c r="B118" s="46"/>
      <c r="C118" s="46"/>
    </row>
    <row r="119" spans="1:3" x14ac:dyDescent="0.35">
      <c r="A119" s="47" t="s">
        <v>194</v>
      </c>
      <c r="B119" s="48">
        <v>1347</v>
      </c>
      <c r="C119" s="48">
        <v>1807</v>
      </c>
    </row>
    <row r="120" spans="1:3" x14ac:dyDescent="0.35">
      <c r="A120" s="49" t="s">
        <v>195</v>
      </c>
      <c r="B120" s="48">
        <v>228</v>
      </c>
      <c r="C120" s="48">
        <v>288</v>
      </c>
    </row>
    <row r="121" spans="1:3" x14ac:dyDescent="0.35">
      <c r="A121" s="49" t="s">
        <v>196</v>
      </c>
      <c r="B121" s="48">
        <v>1119</v>
      </c>
      <c r="C121" s="48">
        <v>1519</v>
      </c>
    </row>
    <row r="122" spans="1:3" x14ac:dyDescent="0.35">
      <c r="A122" s="47" t="s">
        <v>197</v>
      </c>
      <c r="B122" s="48">
        <v>1347</v>
      </c>
      <c r="C122" s="48">
        <v>1807</v>
      </c>
    </row>
    <row r="123" spans="1:3" x14ac:dyDescent="0.35">
      <c r="A123" s="47" t="s">
        <v>198</v>
      </c>
      <c r="B123" s="50">
        <v>11056</v>
      </c>
      <c r="C123" s="50">
        <v>10270</v>
      </c>
    </row>
    <row r="124" spans="1:3" x14ac:dyDescent="0.35">
      <c r="A124" s="45" t="s">
        <v>199</v>
      </c>
      <c r="B124" s="46"/>
      <c r="C124" s="46"/>
    </row>
    <row r="125" spans="1:3" x14ac:dyDescent="0.35">
      <c r="A125" s="47" t="s">
        <v>200</v>
      </c>
      <c r="B125" s="50">
        <v>18704</v>
      </c>
      <c r="C125" s="50">
        <v>38008</v>
      </c>
    </row>
    <row r="126" spans="1:3" x14ac:dyDescent="0.35">
      <c r="A126" s="47" t="s">
        <v>201</v>
      </c>
      <c r="B126" s="48">
        <v>9999</v>
      </c>
      <c r="C126" s="50">
        <v>23815</v>
      </c>
    </row>
    <row r="127" spans="1:3" x14ac:dyDescent="0.35">
      <c r="A127" s="49" t="s">
        <v>202</v>
      </c>
      <c r="B127" s="50">
        <v>10003</v>
      </c>
      <c r="C127" s="50">
        <v>23069</v>
      </c>
    </row>
    <row r="128" spans="1:3" x14ac:dyDescent="0.35">
      <c r="A128" s="47" t="s">
        <v>203</v>
      </c>
      <c r="B128" s="48">
        <v>9035</v>
      </c>
      <c r="C128" s="50">
        <v>13267</v>
      </c>
    </row>
    <row r="129" spans="1:3" x14ac:dyDescent="0.35">
      <c r="A129" s="47" t="s">
        <v>204</v>
      </c>
      <c r="B129" s="48">
        <v>296</v>
      </c>
      <c r="C129" s="48">
        <v>881</v>
      </c>
    </row>
    <row r="130" spans="1:3" x14ac:dyDescent="0.35">
      <c r="A130" s="47" t="s">
        <v>205</v>
      </c>
      <c r="B130" s="48">
        <v>7479</v>
      </c>
      <c r="C130" s="50">
        <v>14440</v>
      </c>
    </row>
    <row r="131" spans="1:3" x14ac:dyDescent="0.35">
      <c r="A131" s="49" t="s">
        <v>206</v>
      </c>
      <c r="B131" s="48">
        <v>2699</v>
      </c>
      <c r="C131" s="48">
        <v>6310</v>
      </c>
    </row>
    <row r="132" spans="1:3" x14ac:dyDescent="0.35">
      <c r="A132" s="49" t="s">
        <v>207</v>
      </c>
      <c r="B132" s="48">
        <v>4780</v>
      </c>
      <c r="C132" s="48">
        <v>8130</v>
      </c>
    </row>
    <row r="133" spans="1:3" x14ac:dyDescent="0.35">
      <c r="A133" s="45" t="s">
        <v>208</v>
      </c>
      <c r="B133" s="46"/>
      <c r="C133" s="46"/>
    </row>
    <row r="134" spans="1:3" x14ac:dyDescent="0.35">
      <c r="A134" s="47" t="s">
        <v>209</v>
      </c>
      <c r="B134" s="57">
        <v>-16275</v>
      </c>
      <c r="C134" s="57">
        <v>-34747</v>
      </c>
    </row>
    <row r="135" spans="1:3" x14ac:dyDescent="0.35">
      <c r="A135" s="47" t="s">
        <v>210</v>
      </c>
      <c r="B135" s="48">
        <v>9709</v>
      </c>
      <c r="C135" s="48">
        <v>8463</v>
      </c>
    </row>
    <row r="136" spans="1:3" x14ac:dyDescent="0.35">
      <c r="A136" s="45" t="s">
        <v>214</v>
      </c>
      <c r="B136" s="46"/>
      <c r="C136" s="46"/>
    </row>
    <row r="137" spans="1:3" x14ac:dyDescent="0.35">
      <c r="A137" s="47" t="s">
        <v>215</v>
      </c>
      <c r="B137" s="48">
        <v>9709</v>
      </c>
      <c r="C137" s="48">
        <v>8463</v>
      </c>
    </row>
    <row r="138" spans="1:3" x14ac:dyDescent="0.35">
      <c r="A138" s="49" t="s">
        <v>216</v>
      </c>
      <c r="B138" s="48">
        <v>1250</v>
      </c>
      <c r="C138" s="50"/>
    </row>
    <row r="139" spans="1:3" x14ac:dyDescent="0.35">
      <c r="A139" s="49" t="s">
        <v>220</v>
      </c>
      <c r="B139" s="48">
        <v>2250</v>
      </c>
      <c r="C139" s="48">
        <v>2250</v>
      </c>
    </row>
    <row r="140" spans="1:3" x14ac:dyDescent="0.35">
      <c r="A140" s="49" t="s">
        <v>567</v>
      </c>
      <c r="B140" s="48">
        <v>2750</v>
      </c>
      <c r="C140" s="48">
        <v>2750</v>
      </c>
    </row>
    <row r="141" spans="1:3" x14ac:dyDescent="0.35">
      <c r="A141" s="49" t="s">
        <v>431</v>
      </c>
      <c r="B141" s="48">
        <v>3459</v>
      </c>
      <c r="C141" s="48">
        <v>3463</v>
      </c>
    </row>
    <row r="142" spans="1:3" x14ac:dyDescent="0.35">
      <c r="A142" s="47" t="s">
        <v>222</v>
      </c>
      <c r="B142" s="48">
        <v>2250</v>
      </c>
      <c r="C142" s="48">
        <v>2250</v>
      </c>
    </row>
    <row r="143" spans="1:3" x14ac:dyDescent="0.35">
      <c r="A143" s="47" t="s">
        <v>432</v>
      </c>
      <c r="B143" s="48">
        <v>6209</v>
      </c>
      <c r="C143" s="48">
        <v>6213</v>
      </c>
    </row>
    <row r="144" spans="1:3" x14ac:dyDescent="0.35">
      <c r="A144" s="45" t="s">
        <v>235</v>
      </c>
      <c r="B144" s="46"/>
      <c r="C144" s="46"/>
    </row>
    <row r="145" spans="1:3" x14ac:dyDescent="0.35">
      <c r="A145" s="47" t="s">
        <v>236</v>
      </c>
      <c r="B145" s="51">
        <v>6.1</v>
      </c>
      <c r="C145" s="51">
        <v>6.5</v>
      </c>
    </row>
    <row r="146" spans="1:3" x14ac:dyDescent="0.35">
      <c r="A146" s="47" t="s">
        <v>238</v>
      </c>
      <c r="B146" s="56">
        <v>0</v>
      </c>
      <c r="C146" s="56">
        <v>0</v>
      </c>
    </row>
    <row r="147" spans="1:3" x14ac:dyDescent="0.35">
      <c r="A147" s="45" t="s">
        <v>82</v>
      </c>
      <c r="B147" s="46"/>
      <c r="C147" s="46"/>
    </row>
    <row r="148" spans="1:3" x14ac:dyDescent="0.35">
      <c r="A148" s="47" t="s">
        <v>240</v>
      </c>
      <c r="B148" s="50">
        <v>26434</v>
      </c>
      <c r="C148" s="50">
        <v>53490</v>
      </c>
    </row>
    <row r="149" spans="1:3" x14ac:dyDescent="0.35">
      <c r="A149" s="47" t="s">
        <v>241</v>
      </c>
      <c r="B149" s="50">
        <v>54018</v>
      </c>
      <c r="C149" s="50">
        <v>97074</v>
      </c>
    </row>
    <row r="150" spans="1:3" x14ac:dyDescent="0.35">
      <c r="A150" s="47" t="s">
        <v>242</v>
      </c>
      <c r="B150" s="48">
        <v>7280</v>
      </c>
      <c r="C150" s="48">
        <v>8589</v>
      </c>
    </row>
    <row r="151" spans="1:3" x14ac:dyDescent="0.35">
      <c r="A151" s="47" t="s">
        <v>243</v>
      </c>
      <c r="B151" s="50">
        <v>25984</v>
      </c>
      <c r="C151" s="50">
        <v>43210</v>
      </c>
    </row>
    <row r="152" spans="1:3" x14ac:dyDescent="0.35">
      <c r="A152" s="47" t="s">
        <v>244</v>
      </c>
      <c r="B152" s="48">
        <v>9709</v>
      </c>
      <c r="C152" s="48">
        <v>8463</v>
      </c>
    </row>
    <row r="153" spans="1:3" x14ac:dyDescent="0.35">
      <c r="A153" s="47" t="s">
        <v>245</v>
      </c>
      <c r="B153" s="48">
        <v>1546</v>
      </c>
      <c r="C153" s="48">
        <v>3387</v>
      </c>
    </row>
    <row r="154" spans="1:3" x14ac:dyDescent="0.35">
      <c r="A154" s="47" t="s">
        <v>246</v>
      </c>
      <c r="B154" s="50">
        <v>26703</v>
      </c>
      <c r="C154" s="50">
        <v>44580</v>
      </c>
    </row>
    <row r="155" spans="1:3" x14ac:dyDescent="0.35">
      <c r="A155" s="47" t="s">
        <v>247</v>
      </c>
      <c r="B155" s="50">
        <v>26703</v>
      </c>
      <c r="C155" s="50">
        <v>44580</v>
      </c>
    </row>
    <row r="156" spans="1:3" x14ac:dyDescent="0.35">
      <c r="A156" s="47" t="s">
        <v>248</v>
      </c>
      <c r="B156" s="48">
        <v>877</v>
      </c>
      <c r="C156" s="48">
        <v>2259</v>
      </c>
    </row>
    <row r="157" spans="1:3" x14ac:dyDescent="0.35">
      <c r="A157" s="47" t="s">
        <v>249</v>
      </c>
      <c r="B157" s="50">
        <v>42978</v>
      </c>
      <c r="C157" s="50">
        <v>79327</v>
      </c>
    </row>
    <row r="158" spans="1:3" x14ac:dyDescent="0.35">
      <c r="A158" s="47" t="s">
        <v>250</v>
      </c>
      <c r="B158" s="50">
        <v>37436</v>
      </c>
      <c r="C158" s="50">
        <v>73332</v>
      </c>
    </row>
    <row r="159" spans="1:3" x14ac:dyDescent="0.35">
      <c r="A159" s="47" t="s">
        <v>251</v>
      </c>
      <c r="B159" s="50">
        <v>37436</v>
      </c>
      <c r="C159" s="50">
        <v>73332</v>
      </c>
    </row>
    <row r="160" spans="1:3" x14ac:dyDescent="0.35">
      <c r="A160" s="47" t="s">
        <v>252</v>
      </c>
      <c r="B160" s="50">
        <v>52687</v>
      </c>
      <c r="C160" s="50">
        <v>87790</v>
      </c>
    </row>
    <row r="161" spans="1:3" x14ac:dyDescent="0.35">
      <c r="A161" s="47" t="s">
        <v>253</v>
      </c>
      <c r="B161" s="50">
        <v>52687</v>
      </c>
      <c r="C161" s="50">
        <v>87790</v>
      </c>
    </row>
    <row r="162" spans="1:3" x14ac:dyDescent="0.35">
      <c r="A162" s="47" t="s">
        <v>254</v>
      </c>
      <c r="B162" s="50">
        <v>55097</v>
      </c>
      <c r="C162" s="50">
        <v>93554</v>
      </c>
    </row>
    <row r="163" spans="1:3" x14ac:dyDescent="0.35">
      <c r="A163" s="47" t="s">
        <v>255</v>
      </c>
      <c r="B163" s="50">
        <v>16953</v>
      </c>
      <c r="C163" s="50">
        <v>25537</v>
      </c>
    </row>
    <row r="164" spans="1:3" x14ac:dyDescent="0.35">
      <c r="A164" s="47" t="s">
        <v>472</v>
      </c>
      <c r="B164" s="48">
        <v>1337</v>
      </c>
      <c r="C164" s="48">
        <v>1813</v>
      </c>
    </row>
    <row r="165" spans="1:3" x14ac:dyDescent="0.35">
      <c r="A165" s="47" t="s">
        <v>256</v>
      </c>
      <c r="B165" s="50">
        <v>33714</v>
      </c>
      <c r="C165" s="50">
        <v>62079</v>
      </c>
    </row>
    <row r="166" spans="1:3" x14ac:dyDescent="0.35">
      <c r="A166" s="47" t="s">
        <v>257</v>
      </c>
      <c r="B166" s="48">
        <v>7730</v>
      </c>
      <c r="C166" s="50">
        <v>18869</v>
      </c>
    </row>
    <row r="167" spans="1:3" x14ac:dyDescent="0.35">
      <c r="A167" s="47" t="s">
        <v>434</v>
      </c>
      <c r="B167" s="50">
        <v>35092</v>
      </c>
      <c r="C167" s="50">
        <v>64517</v>
      </c>
    </row>
    <row r="168" spans="1:3" x14ac:dyDescent="0.35">
      <c r="A168" s="47" t="s">
        <v>258</v>
      </c>
      <c r="B168" s="50">
        <v>42978</v>
      </c>
      <c r="C168" s="50">
        <v>79327</v>
      </c>
    </row>
    <row r="169" spans="1:3" x14ac:dyDescent="0.35">
      <c r="A169" s="45" t="s">
        <v>259</v>
      </c>
      <c r="B169" s="46"/>
      <c r="C169" s="46"/>
    </row>
    <row r="170" spans="1:3" x14ac:dyDescent="0.35">
      <c r="A170" s="47" t="s">
        <v>260</v>
      </c>
      <c r="B170" s="48">
        <v>382</v>
      </c>
      <c r="C170" s="48">
        <v>842</v>
      </c>
    </row>
    <row r="171" spans="1:3" x14ac:dyDescent="0.35">
      <c r="A171" s="45" t="s">
        <v>261</v>
      </c>
      <c r="B171" s="46"/>
      <c r="C171" s="46"/>
    </row>
    <row r="172" spans="1:3" x14ac:dyDescent="0.35">
      <c r="A172" s="47" t="s">
        <v>262</v>
      </c>
      <c r="B172" s="48">
        <v>1347</v>
      </c>
      <c r="C172" s="48">
        <v>1807</v>
      </c>
    </row>
    <row r="173" spans="1:3" x14ac:dyDescent="0.35">
      <c r="A173" s="49" t="s">
        <v>263</v>
      </c>
      <c r="B173" s="48">
        <v>290</v>
      </c>
      <c r="C173" s="48">
        <v>354</v>
      </c>
    </row>
    <row r="174" spans="1:3" x14ac:dyDescent="0.35">
      <c r="A174" s="49" t="s">
        <v>264</v>
      </c>
      <c r="B174" s="48">
        <v>270</v>
      </c>
      <c r="C174" s="48">
        <v>331</v>
      </c>
    </row>
    <row r="175" spans="1:3" x14ac:dyDescent="0.35">
      <c r="A175" s="49" t="s">
        <v>265</v>
      </c>
      <c r="B175" s="48">
        <v>253</v>
      </c>
      <c r="C175" s="48">
        <v>337</v>
      </c>
    </row>
    <row r="176" spans="1:3" x14ac:dyDescent="0.35">
      <c r="A176" s="49" t="s">
        <v>266</v>
      </c>
      <c r="B176" s="48">
        <v>236</v>
      </c>
      <c r="C176" s="48">
        <v>301</v>
      </c>
    </row>
    <row r="177" spans="1:3" x14ac:dyDescent="0.35">
      <c r="A177" s="49" t="s">
        <v>267</v>
      </c>
      <c r="B177" s="48">
        <v>202</v>
      </c>
      <c r="C177" s="48">
        <v>226</v>
      </c>
    </row>
    <row r="178" spans="1:3" x14ac:dyDescent="0.35">
      <c r="A178" s="49" t="s">
        <v>268</v>
      </c>
      <c r="B178" s="48">
        <v>288</v>
      </c>
      <c r="C178" s="48">
        <v>537</v>
      </c>
    </row>
    <row r="179" spans="1:3" x14ac:dyDescent="0.35">
      <c r="A179" s="49" t="s">
        <v>269</v>
      </c>
      <c r="B179" s="48">
        <v>192</v>
      </c>
      <c r="C179" s="48">
        <v>279</v>
      </c>
    </row>
    <row r="180" spans="1:3" x14ac:dyDescent="0.35">
      <c r="A180" s="47" t="s">
        <v>270</v>
      </c>
      <c r="B180" s="48">
        <v>523</v>
      </c>
      <c r="C180" s="48">
        <v>668</v>
      </c>
    </row>
    <row r="181" spans="1:3" x14ac:dyDescent="0.35">
      <c r="A181" s="47" t="s">
        <v>271</v>
      </c>
      <c r="B181" s="48">
        <v>438</v>
      </c>
      <c r="C181" s="48">
        <v>527</v>
      </c>
    </row>
    <row r="182" spans="1:3" x14ac:dyDescent="0.35">
      <c r="A182" s="47" t="s">
        <v>272</v>
      </c>
      <c r="B182" s="48">
        <v>288</v>
      </c>
      <c r="C182" s="48">
        <v>537</v>
      </c>
    </row>
    <row r="183" spans="1:3" x14ac:dyDescent="0.35">
      <c r="A183" s="45" t="s">
        <v>273</v>
      </c>
      <c r="B183" s="46"/>
      <c r="C183" s="46"/>
    </row>
    <row r="184" spans="1:3" x14ac:dyDescent="0.35">
      <c r="A184" s="47" t="s">
        <v>274</v>
      </c>
      <c r="B184" s="50">
        <v>29600</v>
      </c>
      <c r="C184" s="50">
        <v>36000</v>
      </c>
    </row>
    <row r="185" spans="1:3" x14ac:dyDescent="0.35">
      <c r="A185" s="47" t="s">
        <v>275</v>
      </c>
      <c r="B185" s="50">
        <v>29600</v>
      </c>
      <c r="C185" s="50">
        <v>36000</v>
      </c>
    </row>
    <row r="186" spans="1:3" x14ac:dyDescent="0.35">
      <c r="A186"/>
      <c r="B186"/>
      <c r="C186"/>
    </row>
    <row r="187" spans="1:3" x14ac:dyDescent="0.35">
      <c r="A187"/>
      <c r="B187"/>
      <c r="C187"/>
    </row>
    <row r="188" spans="1:3" x14ac:dyDescent="0.35">
      <c r="A188"/>
      <c r="B188"/>
      <c r="C188"/>
    </row>
    <row r="189" spans="1:3" x14ac:dyDescent="0.35">
      <c r="A189"/>
      <c r="B189"/>
      <c r="C189"/>
    </row>
    <row r="190" spans="1:3" x14ac:dyDescent="0.35">
      <c r="A190" s="39" t="s">
        <v>110</v>
      </c>
      <c r="B190" s="40" t="s">
        <v>111</v>
      </c>
      <c r="C190" s="40" t="s">
        <v>112</v>
      </c>
    </row>
    <row r="191" spans="1:3" x14ac:dyDescent="0.35">
      <c r="A191" s="41" t="s">
        <v>113</v>
      </c>
      <c r="B191" s="42">
        <v>45319</v>
      </c>
      <c r="C191" s="42">
        <v>45683</v>
      </c>
    </row>
    <row r="192" spans="1:3" x14ac:dyDescent="0.35">
      <c r="A192" s="41" t="s">
        <v>114</v>
      </c>
      <c r="B192" s="42" t="s">
        <v>115</v>
      </c>
      <c r="C192" s="42" t="s">
        <v>115</v>
      </c>
    </row>
    <row r="193" spans="1:3" x14ac:dyDescent="0.35">
      <c r="A193" s="43" t="s">
        <v>276</v>
      </c>
      <c r="B193" s="39"/>
      <c r="C193" s="39"/>
    </row>
    <row r="194" spans="1:3" x14ac:dyDescent="0.35">
      <c r="A194" s="43" t="s">
        <v>117</v>
      </c>
      <c r="B194" s="44" t="s">
        <v>565</v>
      </c>
      <c r="C194" s="44" t="s">
        <v>566</v>
      </c>
    </row>
    <row r="195" spans="1:3" x14ac:dyDescent="0.35">
      <c r="A195" s="45" t="s">
        <v>277</v>
      </c>
      <c r="B195" s="46"/>
      <c r="C195" s="46"/>
    </row>
    <row r="196" spans="1:3" x14ac:dyDescent="0.35">
      <c r="A196" s="47" t="s">
        <v>278</v>
      </c>
      <c r="B196" s="50">
        <v>60922</v>
      </c>
      <c r="C196" s="50">
        <v>130497</v>
      </c>
    </row>
    <row r="197" spans="1:3" x14ac:dyDescent="0.35">
      <c r="A197" s="49" t="s">
        <v>279</v>
      </c>
      <c r="B197" s="50">
        <v>60922</v>
      </c>
      <c r="C197" s="50">
        <v>130497</v>
      </c>
    </row>
    <row r="198" spans="1:3" x14ac:dyDescent="0.35">
      <c r="A198" s="52" t="s">
        <v>64</v>
      </c>
      <c r="B198" s="53">
        <v>60922</v>
      </c>
      <c r="C198" s="53">
        <v>130497</v>
      </c>
    </row>
    <row r="199" spans="1:3" x14ac:dyDescent="0.35">
      <c r="A199" s="45" t="s">
        <v>280</v>
      </c>
      <c r="B199" s="46"/>
      <c r="C199" s="46"/>
    </row>
    <row r="200" spans="1:3" x14ac:dyDescent="0.35">
      <c r="A200" s="47" t="s">
        <v>281</v>
      </c>
      <c r="B200" s="50">
        <v>16621</v>
      </c>
      <c r="C200" s="50">
        <v>32639</v>
      </c>
    </row>
    <row r="201" spans="1:3" x14ac:dyDescent="0.35">
      <c r="A201" s="49" t="s">
        <v>282</v>
      </c>
      <c r="B201" s="50">
        <v>16621</v>
      </c>
      <c r="C201" s="50">
        <v>32639</v>
      </c>
    </row>
    <row r="202" spans="1:3" x14ac:dyDescent="0.35">
      <c r="A202" s="49" t="s">
        <v>283</v>
      </c>
      <c r="B202" s="50">
        <v>16480</v>
      </c>
      <c r="C202" s="50">
        <v>32461</v>
      </c>
    </row>
    <row r="203" spans="1:3" x14ac:dyDescent="0.35">
      <c r="A203" s="49" t="s">
        <v>551</v>
      </c>
      <c r="B203" s="48">
        <v>141</v>
      </c>
      <c r="C203" s="48">
        <v>178</v>
      </c>
    </row>
    <row r="204" spans="1:3" x14ac:dyDescent="0.35">
      <c r="A204" s="52" t="s">
        <v>68</v>
      </c>
      <c r="B204" s="53">
        <v>44301</v>
      </c>
      <c r="C204" s="53">
        <v>97858</v>
      </c>
    </row>
    <row r="205" spans="1:3" x14ac:dyDescent="0.35">
      <c r="A205" s="47" t="s">
        <v>286</v>
      </c>
      <c r="B205" s="50">
        <v>11329</v>
      </c>
      <c r="C205" s="50">
        <v>16405</v>
      </c>
    </row>
    <row r="206" spans="1:3" x14ac:dyDescent="0.35">
      <c r="A206" s="49" t="s">
        <v>287</v>
      </c>
      <c r="B206" s="48">
        <v>1778</v>
      </c>
      <c r="C206" s="48">
        <v>2355</v>
      </c>
    </row>
    <row r="207" spans="1:3" x14ac:dyDescent="0.35">
      <c r="A207" s="49" t="s">
        <v>547</v>
      </c>
      <c r="B207" s="48">
        <v>876</v>
      </c>
      <c r="C207" s="48">
        <v>1136</v>
      </c>
    </row>
    <row r="208" spans="1:3" x14ac:dyDescent="0.35">
      <c r="A208" s="49" t="s">
        <v>529</v>
      </c>
      <c r="B208" s="48">
        <v>8675</v>
      </c>
      <c r="C208" s="50">
        <v>12914</v>
      </c>
    </row>
    <row r="209" spans="1:3" x14ac:dyDescent="0.35">
      <c r="A209" s="47" t="s">
        <v>291</v>
      </c>
      <c r="B209" s="55">
        <v>-40</v>
      </c>
      <c r="C209" s="50"/>
    </row>
    <row r="210" spans="1:3" x14ac:dyDescent="0.35">
      <c r="A210" s="49" t="s">
        <v>568</v>
      </c>
      <c r="B210" s="51">
        <v>40</v>
      </c>
      <c r="C210" s="50"/>
    </row>
    <row r="211" spans="1:3" x14ac:dyDescent="0.35">
      <c r="A211" s="47" t="s">
        <v>76</v>
      </c>
      <c r="B211" s="50">
        <v>27910</v>
      </c>
      <c r="C211" s="50">
        <v>49044</v>
      </c>
    </row>
    <row r="212" spans="1:3" x14ac:dyDescent="0.35">
      <c r="A212" s="45" t="s">
        <v>292</v>
      </c>
      <c r="B212" s="46"/>
      <c r="C212" s="46"/>
    </row>
    <row r="213" spans="1:3" x14ac:dyDescent="0.35">
      <c r="A213" s="52" t="s">
        <v>293</v>
      </c>
      <c r="B213" s="53">
        <v>33012</v>
      </c>
      <c r="C213" s="53">
        <v>81453</v>
      </c>
    </row>
    <row r="214" spans="1:3" x14ac:dyDescent="0.35">
      <c r="A214" s="45" t="s">
        <v>294</v>
      </c>
      <c r="B214" s="46"/>
      <c r="C214" s="46"/>
    </row>
    <row r="215" spans="1:3" x14ac:dyDescent="0.35">
      <c r="A215" s="47" t="s">
        <v>295</v>
      </c>
      <c r="B215" s="48">
        <v>609</v>
      </c>
      <c r="C215" s="48">
        <v>1539</v>
      </c>
    </row>
    <row r="216" spans="1:3" x14ac:dyDescent="0.35">
      <c r="A216" s="49" t="s">
        <v>81</v>
      </c>
      <c r="B216" s="54">
        <v>-609</v>
      </c>
      <c r="C216" s="54">
        <v>-1539</v>
      </c>
    </row>
    <row r="217" spans="1:3" x14ac:dyDescent="0.35">
      <c r="A217" s="49" t="s">
        <v>296</v>
      </c>
      <c r="B217" s="48">
        <v>866</v>
      </c>
      <c r="C217" s="48">
        <v>1786</v>
      </c>
    </row>
    <row r="218" spans="1:3" x14ac:dyDescent="0.35">
      <c r="A218" s="49" t="s">
        <v>297</v>
      </c>
      <c r="B218" s="48">
        <v>257</v>
      </c>
      <c r="C218" s="48">
        <v>247</v>
      </c>
    </row>
    <row r="219" spans="1:3" x14ac:dyDescent="0.35">
      <c r="A219" s="47" t="s">
        <v>438</v>
      </c>
      <c r="B219" s="48">
        <v>237</v>
      </c>
      <c r="C219" s="48">
        <v>1034</v>
      </c>
    </row>
    <row r="220" spans="1:3" x14ac:dyDescent="0.35">
      <c r="A220" s="47" t="s">
        <v>304</v>
      </c>
      <c r="B220" s="50">
        <v>33858</v>
      </c>
      <c r="C220" s="50">
        <v>84026</v>
      </c>
    </row>
    <row r="221" spans="1:3" x14ac:dyDescent="0.35">
      <c r="A221" s="45" t="s">
        <v>305</v>
      </c>
      <c r="B221" s="46"/>
      <c r="C221" s="46"/>
    </row>
    <row r="222" spans="1:3" x14ac:dyDescent="0.35">
      <c r="A222" s="47" t="s">
        <v>306</v>
      </c>
      <c r="B222" s="55">
        <v>-40</v>
      </c>
      <c r="C222" s="50">
        <v>0</v>
      </c>
    </row>
    <row r="223" spans="1:3" x14ac:dyDescent="0.35">
      <c r="A223" s="49" t="s">
        <v>310</v>
      </c>
      <c r="B223" s="50">
        <v>0</v>
      </c>
      <c r="C223" s="50"/>
    </row>
    <row r="224" spans="1:3" x14ac:dyDescent="0.35">
      <c r="A224" s="49" t="s">
        <v>569</v>
      </c>
      <c r="B224" s="51">
        <v>40</v>
      </c>
      <c r="C224" s="50"/>
    </row>
    <row r="225" spans="1:3" x14ac:dyDescent="0.35">
      <c r="A225" s="49" t="s">
        <v>441</v>
      </c>
      <c r="B225" s="50">
        <v>0</v>
      </c>
      <c r="C225" s="50">
        <v>0</v>
      </c>
    </row>
    <row r="226" spans="1:3" x14ac:dyDescent="0.35">
      <c r="A226" s="45" t="s">
        <v>313</v>
      </c>
      <c r="B226" s="46"/>
      <c r="C226" s="46"/>
    </row>
    <row r="227" spans="1:3" x14ac:dyDescent="0.35">
      <c r="A227" s="52" t="s">
        <v>83</v>
      </c>
      <c r="B227" s="53">
        <v>33818</v>
      </c>
      <c r="C227" s="53">
        <v>84026</v>
      </c>
    </row>
    <row r="228" spans="1:3" x14ac:dyDescent="0.35">
      <c r="A228" s="45" t="s">
        <v>314</v>
      </c>
      <c r="B228" s="46"/>
      <c r="C228" s="46"/>
    </row>
    <row r="229" spans="1:3" x14ac:dyDescent="0.35">
      <c r="A229" s="47" t="s">
        <v>84</v>
      </c>
      <c r="B229" s="48">
        <v>4058</v>
      </c>
      <c r="C229" s="50">
        <v>11146</v>
      </c>
    </row>
    <row r="230" spans="1:3" x14ac:dyDescent="0.35">
      <c r="A230" s="49" t="s">
        <v>315</v>
      </c>
      <c r="B230" s="48">
        <v>6547</v>
      </c>
      <c r="C230" s="50">
        <v>15623</v>
      </c>
    </row>
    <row r="231" spans="1:3" x14ac:dyDescent="0.35">
      <c r="A231" s="49" t="s">
        <v>316</v>
      </c>
      <c r="B231" s="48">
        <v>6045</v>
      </c>
      <c r="C231" s="50">
        <v>14924</v>
      </c>
    </row>
    <row r="232" spans="1:3" x14ac:dyDescent="0.35">
      <c r="A232" s="49" t="s">
        <v>317</v>
      </c>
      <c r="B232" s="48">
        <v>502</v>
      </c>
      <c r="C232" s="48">
        <v>699</v>
      </c>
    </row>
    <row r="233" spans="1:3" x14ac:dyDescent="0.35">
      <c r="A233" s="49" t="s">
        <v>318</v>
      </c>
      <c r="B233" s="54">
        <v>-2489</v>
      </c>
      <c r="C233" s="54">
        <v>-4477</v>
      </c>
    </row>
    <row r="234" spans="1:3" x14ac:dyDescent="0.35">
      <c r="A234" s="49" t="s">
        <v>319</v>
      </c>
      <c r="B234" s="54">
        <v>-2705</v>
      </c>
      <c r="C234" s="54">
        <v>-4757</v>
      </c>
    </row>
    <row r="235" spans="1:3" x14ac:dyDescent="0.35">
      <c r="A235" s="49" t="s">
        <v>320</v>
      </c>
      <c r="B235" s="48">
        <v>216</v>
      </c>
      <c r="C235" s="48">
        <v>280</v>
      </c>
    </row>
    <row r="236" spans="1:3" x14ac:dyDescent="0.35">
      <c r="A236" s="45" t="s">
        <v>321</v>
      </c>
      <c r="B236" s="46"/>
      <c r="C236" s="46"/>
    </row>
    <row r="237" spans="1:3" x14ac:dyDescent="0.35">
      <c r="A237" s="47" t="s">
        <v>322</v>
      </c>
      <c r="B237" s="50">
        <v>29760</v>
      </c>
      <c r="C237" s="50">
        <v>72880</v>
      </c>
    </row>
    <row r="238" spans="1:3" x14ac:dyDescent="0.35">
      <c r="A238" s="45" t="s">
        <v>323</v>
      </c>
      <c r="B238" s="46"/>
      <c r="C238" s="46"/>
    </row>
    <row r="239" spans="1:3" x14ac:dyDescent="0.35">
      <c r="A239" s="52" t="s">
        <v>324</v>
      </c>
      <c r="B239" s="53">
        <v>29760</v>
      </c>
      <c r="C239" s="53">
        <v>72880</v>
      </c>
    </row>
    <row r="240" spans="1:3" x14ac:dyDescent="0.35">
      <c r="A240" s="47" t="s">
        <v>327</v>
      </c>
      <c r="B240" s="50">
        <v>29760</v>
      </c>
      <c r="C240" s="50">
        <v>72880</v>
      </c>
    </row>
    <row r="241" spans="1:3" x14ac:dyDescent="0.35">
      <c r="A241" s="47" t="s">
        <v>85</v>
      </c>
      <c r="B241" s="50">
        <v>29760</v>
      </c>
      <c r="C241" s="50">
        <v>72880</v>
      </c>
    </row>
    <row r="242" spans="1:3" x14ac:dyDescent="0.35">
      <c r="A242" s="45" t="s">
        <v>328</v>
      </c>
      <c r="B242" s="46"/>
      <c r="C242" s="46"/>
    </row>
    <row r="243" spans="1:3" x14ac:dyDescent="0.35">
      <c r="A243" s="52" t="s">
        <v>330</v>
      </c>
      <c r="B243" s="53">
        <v>29760</v>
      </c>
      <c r="C243" s="53">
        <v>72880</v>
      </c>
    </row>
    <row r="244" spans="1:3" x14ac:dyDescent="0.35">
      <c r="A244" s="45" t="s">
        <v>331</v>
      </c>
      <c r="B244" s="46"/>
      <c r="C244" s="46"/>
    </row>
    <row r="245" spans="1:3" x14ac:dyDescent="0.35">
      <c r="A245" s="47" t="s">
        <v>332</v>
      </c>
      <c r="B245" s="50">
        <v>29760</v>
      </c>
      <c r="C245" s="50">
        <v>72880</v>
      </c>
    </row>
    <row r="246" spans="1:3" x14ac:dyDescent="0.35">
      <c r="A246" s="47" t="s">
        <v>334</v>
      </c>
      <c r="B246" s="51">
        <v>80</v>
      </c>
      <c r="C246" s="51">
        <v>1</v>
      </c>
    </row>
    <row r="247" spans="1:3" x14ac:dyDescent="0.35">
      <c r="A247" s="47" t="s">
        <v>335</v>
      </c>
      <c r="B247" s="55">
        <v>-10</v>
      </c>
      <c r="C247" s="50">
        <v>0</v>
      </c>
    </row>
    <row r="248" spans="1:3" x14ac:dyDescent="0.35">
      <c r="A248" s="47" t="s">
        <v>338</v>
      </c>
      <c r="B248" s="51">
        <v>70</v>
      </c>
      <c r="C248" s="51">
        <v>1</v>
      </c>
    </row>
    <row r="249" spans="1:3" x14ac:dyDescent="0.35">
      <c r="A249" s="52" t="s">
        <v>339</v>
      </c>
      <c r="B249" s="53">
        <v>29830</v>
      </c>
      <c r="C249" s="53">
        <v>72881</v>
      </c>
    </row>
    <row r="250" spans="1:3" x14ac:dyDescent="0.35">
      <c r="A250" s="47" t="s">
        <v>340</v>
      </c>
      <c r="B250" s="50">
        <v>29830</v>
      </c>
      <c r="C250" s="50">
        <v>72881</v>
      </c>
    </row>
    <row r="251" spans="1:3" x14ac:dyDescent="0.35">
      <c r="A251" s="45" t="s">
        <v>341</v>
      </c>
      <c r="B251" s="46"/>
      <c r="C251" s="46"/>
    </row>
    <row r="252" spans="1:3" x14ac:dyDescent="0.35">
      <c r="A252" s="47" t="s">
        <v>342</v>
      </c>
      <c r="B252" s="50">
        <v>29760</v>
      </c>
      <c r="C252" s="50">
        <v>72880</v>
      </c>
    </row>
    <row r="253" spans="1:3" x14ac:dyDescent="0.35">
      <c r="A253" s="49" t="s">
        <v>343</v>
      </c>
      <c r="B253" s="50">
        <v>29760</v>
      </c>
      <c r="C253" s="50">
        <v>72880</v>
      </c>
    </row>
    <row r="254" spans="1:3" x14ac:dyDescent="0.35">
      <c r="A254" s="49" t="s">
        <v>344</v>
      </c>
      <c r="B254" s="50">
        <v>24690</v>
      </c>
      <c r="C254" s="50">
        <v>24555</v>
      </c>
    </row>
    <row r="255" spans="1:3" x14ac:dyDescent="0.35">
      <c r="A255" s="49" t="s">
        <v>345</v>
      </c>
      <c r="B255" s="51">
        <v>1.21</v>
      </c>
      <c r="C255" s="51">
        <v>2.97</v>
      </c>
    </row>
    <row r="256" spans="1:3" x14ac:dyDescent="0.35">
      <c r="A256" s="49" t="s">
        <v>346</v>
      </c>
      <c r="B256" s="51">
        <v>1.21</v>
      </c>
      <c r="C256" s="51">
        <v>2.97</v>
      </c>
    </row>
    <row r="257" spans="1:3" x14ac:dyDescent="0.35">
      <c r="A257" s="49" t="s">
        <v>347</v>
      </c>
      <c r="B257" s="51">
        <v>1.21</v>
      </c>
      <c r="C257" s="51">
        <v>2.97</v>
      </c>
    </row>
    <row r="258" spans="1:3" x14ac:dyDescent="0.35">
      <c r="A258" s="47" t="s">
        <v>348</v>
      </c>
      <c r="B258" s="50">
        <v>29760</v>
      </c>
      <c r="C258" s="50">
        <v>72880</v>
      </c>
    </row>
    <row r="259" spans="1:3" x14ac:dyDescent="0.35">
      <c r="A259" s="47" t="s">
        <v>349</v>
      </c>
      <c r="B259" s="51">
        <v>1</v>
      </c>
      <c r="C259" s="51">
        <v>1</v>
      </c>
    </row>
    <row r="260" spans="1:3" x14ac:dyDescent="0.35">
      <c r="A260" s="49" t="s">
        <v>350</v>
      </c>
      <c r="B260" s="50">
        <v>24690</v>
      </c>
      <c r="C260" s="50">
        <v>24555</v>
      </c>
    </row>
    <row r="261" spans="1:3" x14ac:dyDescent="0.35">
      <c r="A261" s="49" t="s">
        <v>351</v>
      </c>
      <c r="B261" s="51">
        <v>1.21</v>
      </c>
      <c r="C261" s="51">
        <v>2.97</v>
      </c>
    </row>
    <row r="262" spans="1:3" x14ac:dyDescent="0.35">
      <c r="A262" s="49" t="s">
        <v>352</v>
      </c>
      <c r="B262" s="51">
        <v>1.21</v>
      </c>
      <c r="C262" s="51">
        <v>2.97</v>
      </c>
    </row>
    <row r="263" spans="1:3" x14ac:dyDescent="0.35">
      <c r="A263" s="49" t="s">
        <v>353</v>
      </c>
      <c r="B263" s="51">
        <v>1.21</v>
      </c>
      <c r="C263" s="51">
        <v>2.97</v>
      </c>
    </row>
    <row r="264" spans="1:3" x14ac:dyDescent="0.35">
      <c r="A264" s="47" t="s">
        <v>354</v>
      </c>
      <c r="B264" s="50">
        <v>0</v>
      </c>
      <c r="C264" s="50">
        <v>0</v>
      </c>
    </row>
    <row r="265" spans="1:3" x14ac:dyDescent="0.35">
      <c r="A265" s="47" t="s">
        <v>355</v>
      </c>
      <c r="B265" s="51">
        <v>1.21</v>
      </c>
      <c r="C265" s="51">
        <v>2.97</v>
      </c>
    </row>
    <row r="266" spans="1:3" x14ac:dyDescent="0.35">
      <c r="A266" s="45" t="s">
        <v>356</v>
      </c>
      <c r="B266" s="46"/>
      <c r="C266" s="46"/>
    </row>
    <row r="267" spans="1:3" x14ac:dyDescent="0.35">
      <c r="A267" s="47" t="s">
        <v>357</v>
      </c>
      <c r="B267" s="50">
        <v>29760</v>
      </c>
      <c r="C267" s="50">
        <v>72880</v>
      </c>
    </row>
    <row r="268" spans="1:3" x14ac:dyDescent="0.35">
      <c r="A268" s="49" t="s">
        <v>358</v>
      </c>
      <c r="B268" s="50">
        <v>29760</v>
      </c>
      <c r="C268" s="50">
        <v>72880</v>
      </c>
    </row>
    <row r="269" spans="1:3" x14ac:dyDescent="0.35">
      <c r="A269" s="49" t="s">
        <v>359</v>
      </c>
      <c r="B269" s="50">
        <v>24940</v>
      </c>
      <c r="C269" s="50">
        <v>24804</v>
      </c>
    </row>
    <row r="270" spans="1:3" x14ac:dyDescent="0.35">
      <c r="A270" s="49" t="s">
        <v>360</v>
      </c>
      <c r="B270" s="51">
        <v>1.19</v>
      </c>
      <c r="C270" s="51">
        <v>2.94</v>
      </c>
    </row>
    <row r="271" spans="1:3" x14ac:dyDescent="0.35">
      <c r="A271" s="49" t="s">
        <v>361</v>
      </c>
      <c r="B271" s="51">
        <v>1.19</v>
      </c>
      <c r="C271" s="51">
        <v>2.94</v>
      </c>
    </row>
    <row r="272" spans="1:3" x14ac:dyDescent="0.35">
      <c r="A272" s="49" t="s">
        <v>362</v>
      </c>
      <c r="B272" s="51">
        <v>1.19</v>
      </c>
      <c r="C272" s="51">
        <v>2.94</v>
      </c>
    </row>
    <row r="273" spans="1:3" x14ac:dyDescent="0.35">
      <c r="A273" s="47" t="s">
        <v>363</v>
      </c>
      <c r="B273" s="50">
        <v>29760</v>
      </c>
      <c r="C273" s="50">
        <v>72880</v>
      </c>
    </row>
    <row r="274" spans="1:3" x14ac:dyDescent="0.35">
      <c r="A274" s="47" t="s">
        <v>364</v>
      </c>
      <c r="B274" s="51">
        <v>1</v>
      </c>
      <c r="C274" s="51">
        <v>1</v>
      </c>
    </row>
    <row r="275" spans="1:3" x14ac:dyDescent="0.35">
      <c r="A275" s="49" t="s">
        <v>365</v>
      </c>
      <c r="B275" s="50">
        <v>24940</v>
      </c>
      <c r="C275" s="50">
        <v>24804</v>
      </c>
    </row>
    <row r="276" spans="1:3" x14ac:dyDescent="0.35">
      <c r="A276" s="49" t="s">
        <v>366</v>
      </c>
      <c r="B276" s="51">
        <v>1.19</v>
      </c>
      <c r="C276" s="51">
        <v>2.94</v>
      </c>
    </row>
    <row r="277" spans="1:3" x14ac:dyDescent="0.35">
      <c r="A277" s="49" t="s">
        <v>367</v>
      </c>
      <c r="B277" s="51">
        <v>1.19</v>
      </c>
      <c r="C277" s="51">
        <v>2.94</v>
      </c>
    </row>
    <row r="278" spans="1:3" x14ac:dyDescent="0.35">
      <c r="A278" s="49" t="s">
        <v>368</v>
      </c>
      <c r="B278" s="51">
        <v>1.19</v>
      </c>
      <c r="C278" s="51">
        <v>2.94</v>
      </c>
    </row>
    <row r="279" spans="1:3" x14ac:dyDescent="0.35">
      <c r="A279" s="47" t="s">
        <v>369</v>
      </c>
      <c r="B279" s="50">
        <v>0</v>
      </c>
      <c r="C279" s="50">
        <v>0</v>
      </c>
    </row>
    <row r="280" spans="1:3" x14ac:dyDescent="0.35">
      <c r="A280" s="47" t="s">
        <v>370</v>
      </c>
      <c r="B280" s="51">
        <v>1.2</v>
      </c>
      <c r="C280" s="51">
        <v>2.94</v>
      </c>
    </row>
    <row r="281" spans="1:3" x14ac:dyDescent="0.35">
      <c r="A281" s="45" t="s">
        <v>371</v>
      </c>
      <c r="B281" s="46"/>
      <c r="C281" s="46"/>
    </row>
    <row r="282" spans="1:3" x14ac:dyDescent="0.35">
      <c r="A282" s="47" t="s">
        <v>372</v>
      </c>
      <c r="B282" s="51">
        <v>0.02</v>
      </c>
      <c r="C282" s="51">
        <v>0.03</v>
      </c>
    </row>
    <row r="283" spans="1:3" x14ac:dyDescent="0.35">
      <c r="A283" s="47" t="s">
        <v>373</v>
      </c>
      <c r="B283" s="51">
        <v>0.02</v>
      </c>
      <c r="C283" s="51">
        <v>0.03</v>
      </c>
    </row>
    <row r="284" spans="1:3" x14ac:dyDescent="0.35">
      <c r="A284" s="45" t="s">
        <v>374</v>
      </c>
      <c r="B284" s="46"/>
      <c r="C284" s="46"/>
    </row>
    <row r="285" spans="1:3" x14ac:dyDescent="0.35">
      <c r="A285" s="47" t="s">
        <v>78</v>
      </c>
      <c r="B285" s="50">
        <v>33012</v>
      </c>
      <c r="C285" s="50">
        <v>81453</v>
      </c>
    </row>
    <row r="286" spans="1:3" x14ac:dyDescent="0.35">
      <c r="A286" s="47" t="s">
        <v>80</v>
      </c>
      <c r="B286" s="50">
        <v>34520</v>
      </c>
      <c r="C286" s="50">
        <v>83346</v>
      </c>
    </row>
    <row r="287" spans="1:3" x14ac:dyDescent="0.35">
      <c r="A287" s="47" t="s">
        <v>376</v>
      </c>
      <c r="B287" s="50">
        <v>34789</v>
      </c>
      <c r="C287" s="50">
        <v>83702</v>
      </c>
    </row>
    <row r="288" spans="1:3" x14ac:dyDescent="0.35">
      <c r="A288" s="45" t="s">
        <v>377</v>
      </c>
      <c r="B288" s="46"/>
      <c r="C288" s="46"/>
    </row>
    <row r="289" spans="1:3" x14ac:dyDescent="0.35">
      <c r="A289" s="47" t="s">
        <v>378</v>
      </c>
      <c r="B289" s="48">
        <v>1508</v>
      </c>
      <c r="C289" s="48">
        <v>1893</v>
      </c>
    </row>
    <row r="290" spans="1:3" x14ac:dyDescent="0.35">
      <c r="A290" s="49" t="s">
        <v>379</v>
      </c>
      <c r="B290" s="48">
        <v>894</v>
      </c>
      <c r="C290" s="48">
        <v>1300</v>
      </c>
    </row>
    <row r="291" spans="1:3" x14ac:dyDescent="0.35">
      <c r="A291" s="49" t="s">
        <v>477</v>
      </c>
      <c r="B291" s="48">
        <v>614</v>
      </c>
      <c r="C291" s="48">
        <v>593</v>
      </c>
    </row>
    <row r="292" spans="1:3" x14ac:dyDescent="0.35">
      <c r="A292" s="49" t="s">
        <v>497</v>
      </c>
      <c r="B292" s="48">
        <v>614</v>
      </c>
      <c r="C292" s="48">
        <v>593</v>
      </c>
    </row>
    <row r="293" spans="1:3" x14ac:dyDescent="0.35">
      <c r="A293" s="45" t="s">
        <v>381</v>
      </c>
      <c r="B293" s="46"/>
      <c r="C293" s="46"/>
    </row>
    <row r="294" spans="1:3" x14ac:dyDescent="0.35">
      <c r="A294" s="47" t="s">
        <v>79</v>
      </c>
      <c r="B294" s="48">
        <v>1508</v>
      </c>
      <c r="C294" s="48">
        <v>1893</v>
      </c>
    </row>
    <row r="295" spans="1:3" x14ac:dyDescent="0.35">
      <c r="A295" s="49" t="s">
        <v>382</v>
      </c>
      <c r="B295" s="48">
        <v>894</v>
      </c>
      <c r="C295" s="48">
        <v>1300</v>
      </c>
    </row>
    <row r="296" spans="1:3" x14ac:dyDescent="0.35">
      <c r="A296" s="49" t="s">
        <v>498</v>
      </c>
      <c r="B296" s="48">
        <v>614</v>
      </c>
      <c r="C296" s="48">
        <v>593</v>
      </c>
    </row>
    <row r="297" spans="1:3" x14ac:dyDescent="0.35">
      <c r="A297" s="45" t="s">
        <v>383</v>
      </c>
      <c r="B297" s="46"/>
      <c r="C297" s="46"/>
    </row>
    <row r="298" spans="1:3" x14ac:dyDescent="0.35">
      <c r="A298" s="47" t="s">
        <v>384</v>
      </c>
      <c r="B298" s="48">
        <v>8675</v>
      </c>
      <c r="C298" s="50">
        <v>12914</v>
      </c>
    </row>
    <row r="299" spans="1:3" x14ac:dyDescent="0.35">
      <c r="A299" s="49" t="s">
        <v>72</v>
      </c>
      <c r="B299" s="48">
        <v>8675</v>
      </c>
      <c r="C299" s="50">
        <v>12914</v>
      </c>
    </row>
    <row r="300" spans="1:3" x14ac:dyDescent="0.35">
      <c r="A300" s="45" t="s">
        <v>385</v>
      </c>
      <c r="B300" s="46"/>
      <c r="C300" s="46"/>
    </row>
    <row r="301" spans="1:3" x14ac:dyDescent="0.35">
      <c r="A301" s="47" t="s">
        <v>386</v>
      </c>
      <c r="B301" s="50"/>
      <c r="C301" s="50"/>
    </row>
    <row r="302" spans="1:3" x14ac:dyDescent="0.35">
      <c r="A302" s="49" t="s">
        <v>387</v>
      </c>
      <c r="B302" s="48">
        <v>2803.71</v>
      </c>
      <c r="C302" s="48">
        <v>3742.23</v>
      </c>
    </row>
    <row r="303" spans="1:3" x14ac:dyDescent="0.35">
      <c r="A303" s="49" t="s">
        <v>388</v>
      </c>
      <c r="B303" s="48">
        <v>3549</v>
      </c>
      <c r="C303" s="48">
        <v>4737</v>
      </c>
    </row>
    <row r="304" spans="1:3" x14ac:dyDescent="0.35">
      <c r="A304" s="49" t="s">
        <v>389</v>
      </c>
      <c r="B304" s="48">
        <v>745.29</v>
      </c>
      <c r="C304" s="48">
        <v>994.77</v>
      </c>
    </row>
    <row r="305" spans="1:3" x14ac:dyDescent="0.35">
      <c r="A305" s="45" t="s">
        <v>390</v>
      </c>
      <c r="B305" s="46"/>
      <c r="C305" s="46"/>
    </row>
    <row r="306" spans="1:3" x14ac:dyDescent="0.35">
      <c r="A306" s="47" t="s">
        <v>390</v>
      </c>
      <c r="B306" s="51">
        <v>9.01</v>
      </c>
      <c r="C306" s="51">
        <v>10</v>
      </c>
    </row>
    <row r="307" spans="1:3" x14ac:dyDescent="0.35">
      <c r="A307" s="49" t="s">
        <v>391</v>
      </c>
      <c r="B307" s="51">
        <v>7.49</v>
      </c>
      <c r="C307" s="51">
        <v>8.7899999999999991</v>
      </c>
    </row>
    <row r="308" spans="1:3" x14ac:dyDescent="0.35">
      <c r="A308" s="49" t="s">
        <v>392</v>
      </c>
      <c r="B308" s="51">
        <v>1.1599999999999999</v>
      </c>
      <c r="C308" s="51">
        <v>0.86</v>
      </c>
    </row>
    <row r="309" spans="1:3" x14ac:dyDescent="0.35">
      <c r="A309" s="49" t="s">
        <v>444</v>
      </c>
      <c r="B309" s="51">
        <v>0.35</v>
      </c>
      <c r="C309" s="51">
        <v>0.35</v>
      </c>
    </row>
    <row r="310" spans="1:3" x14ac:dyDescent="0.35">
      <c r="A310" s="45" t="s">
        <v>393</v>
      </c>
      <c r="B310" s="46"/>
      <c r="C310" s="46"/>
    </row>
    <row r="311" spans="1:3" x14ac:dyDescent="0.35">
      <c r="A311" s="47" t="s">
        <v>394</v>
      </c>
      <c r="B311" s="50">
        <v>29800</v>
      </c>
      <c r="C311" s="50">
        <v>72880</v>
      </c>
    </row>
    <row r="312" spans="1:3" x14ac:dyDescent="0.35">
      <c r="A312" s="47" t="s">
        <v>395</v>
      </c>
      <c r="B312" s="50">
        <v>29800</v>
      </c>
      <c r="C312" s="50">
        <v>72880</v>
      </c>
    </row>
    <row r="313" spans="1:3" x14ac:dyDescent="0.35">
      <c r="A313" s="47" t="s">
        <v>396</v>
      </c>
      <c r="B313" s="50">
        <v>29800</v>
      </c>
      <c r="C313" s="50">
        <v>72880</v>
      </c>
    </row>
    <row r="314" spans="1:3" x14ac:dyDescent="0.35">
      <c r="A314" s="47" t="s">
        <v>397</v>
      </c>
      <c r="B314" s="50">
        <v>33249</v>
      </c>
      <c r="C314" s="50">
        <v>82487</v>
      </c>
    </row>
    <row r="315" spans="1:3" x14ac:dyDescent="0.35">
      <c r="A315" s="47" t="s">
        <v>398</v>
      </c>
      <c r="B315" s="50">
        <v>34757</v>
      </c>
      <c r="C315" s="50">
        <v>84380</v>
      </c>
    </row>
    <row r="316" spans="1:3" x14ac:dyDescent="0.35">
      <c r="A316" s="45" t="s">
        <v>82</v>
      </c>
      <c r="B316" s="46"/>
      <c r="C316" s="46"/>
    </row>
    <row r="317" spans="1:3" x14ac:dyDescent="0.35">
      <c r="A317" s="47" t="s">
        <v>405</v>
      </c>
      <c r="B317" s="48">
        <v>269</v>
      </c>
      <c r="C317" s="48">
        <v>356</v>
      </c>
    </row>
    <row r="318" spans="1:3" x14ac:dyDescent="0.35">
      <c r="A318" s="47" t="s">
        <v>406</v>
      </c>
      <c r="B318" s="50">
        <v>16621</v>
      </c>
      <c r="C318" s="50">
        <v>32639</v>
      </c>
    </row>
    <row r="319" spans="1:3" x14ac:dyDescent="0.35">
      <c r="A319" s="47" t="s">
        <v>407</v>
      </c>
      <c r="B319" s="50">
        <v>16621</v>
      </c>
      <c r="C319" s="50">
        <v>32639</v>
      </c>
    </row>
    <row r="320" spans="1:3" x14ac:dyDescent="0.35">
      <c r="A320" s="47" t="s">
        <v>408</v>
      </c>
      <c r="B320" s="48">
        <v>257</v>
      </c>
      <c r="C320" s="48">
        <v>247</v>
      </c>
    </row>
    <row r="321" spans="1:3" x14ac:dyDescent="0.35">
      <c r="A321" s="47" t="s">
        <v>280</v>
      </c>
      <c r="B321" s="50">
        <v>27910</v>
      </c>
      <c r="C321" s="50">
        <v>49044</v>
      </c>
    </row>
    <row r="322" spans="1:3" x14ac:dyDescent="0.35">
      <c r="A322" s="47" t="s">
        <v>70</v>
      </c>
      <c r="B322" s="48">
        <v>2654</v>
      </c>
      <c r="C322" s="48">
        <v>3491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55"/>
  <sheetViews>
    <sheetView topLeftCell="A220" zoomScale="114" workbookViewId="0">
      <selection activeCell="D227" sqref="D227"/>
    </sheetView>
  </sheetViews>
  <sheetFormatPr defaultRowHeight="14.5" x14ac:dyDescent="0.35"/>
  <cols>
    <col min="1" max="1" width="90.81640625" style="11" customWidth="1"/>
    <col min="2" max="2" width="35.1796875" style="11" customWidth="1"/>
    <col min="3" max="3" width="9.6328125" style="11" customWidth="1"/>
    <col min="4" max="16384" width="8.7265625" style="11"/>
  </cols>
  <sheetData>
    <row r="1" spans="1:3" x14ac:dyDescent="0.35">
      <c r="A1" s="93" t="s">
        <v>94</v>
      </c>
      <c r="B1" s="94"/>
      <c r="C1" s="94"/>
    </row>
    <row r="2" spans="1:3" x14ac:dyDescent="0.35">
      <c r="A2" s="95" t="s">
        <v>95</v>
      </c>
      <c r="B2" s="96" t="s">
        <v>570</v>
      </c>
      <c r="C2"/>
    </row>
    <row r="3" spans="1:3" x14ac:dyDescent="0.35">
      <c r="A3" s="95" t="s">
        <v>97</v>
      </c>
      <c r="B3" s="95" t="s">
        <v>98</v>
      </c>
      <c r="C3"/>
    </row>
    <row r="4" spans="1:3" x14ac:dyDescent="0.35">
      <c r="A4" s="95" t="s">
        <v>99</v>
      </c>
      <c r="B4" s="95" t="s">
        <v>98</v>
      </c>
      <c r="C4"/>
    </row>
    <row r="5" spans="1:3" x14ac:dyDescent="0.35">
      <c r="A5" s="95" t="s">
        <v>100</v>
      </c>
      <c r="B5" s="95" t="s">
        <v>564</v>
      </c>
      <c r="C5"/>
    </row>
    <row r="6" spans="1:3" x14ac:dyDescent="0.35">
      <c r="A6" s="95" t="s">
        <v>101</v>
      </c>
      <c r="B6" s="95" t="s">
        <v>102</v>
      </c>
      <c r="C6"/>
    </row>
    <row r="7" spans="1:3" x14ac:dyDescent="0.35">
      <c r="A7" s="95" t="s">
        <v>103</v>
      </c>
      <c r="B7" s="95" t="s">
        <v>104</v>
      </c>
      <c r="C7"/>
    </row>
    <row r="8" spans="1:3" x14ac:dyDescent="0.35">
      <c r="A8" s="95" t="s">
        <v>105</v>
      </c>
      <c r="B8" s="95" t="s">
        <v>106</v>
      </c>
      <c r="C8"/>
    </row>
    <row r="9" spans="1:3" x14ac:dyDescent="0.35">
      <c r="A9" s="95" t="s">
        <v>107</v>
      </c>
      <c r="B9" s="95" t="s">
        <v>108</v>
      </c>
      <c r="C9"/>
    </row>
    <row r="10" spans="1:3" x14ac:dyDescent="0.35">
      <c r="A10" s="95" t="s">
        <v>109</v>
      </c>
      <c r="B10" s="97">
        <v>46296.629022349502</v>
      </c>
      <c r="C10"/>
    </row>
    <row r="11" spans="1:3" x14ac:dyDescent="0.35">
      <c r="A11" s="98" t="s">
        <v>110</v>
      </c>
      <c r="B11" s="99" t="s">
        <v>111</v>
      </c>
      <c r="C11" s="99" t="s">
        <v>112</v>
      </c>
    </row>
    <row r="12" spans="1:3" x14ac:dyDescent="0.35">
      <c r="A12" s="100" t="s">
        <v>113</v>
      </c>
      <c r="B12" s="101">
        <v>45654</v>
      </c>
      <c r="C12" s="101">
        <v>46018</v>
      </c>
    </row>
    <row r="13" spans="1:3" x14ac:dyDescent="0.35">
      <c r="A13" s="100" t="s">
        <v>114</v>
      </c>
      <c r="B13" s="101" t="s">
        <v>115</v>
      </c>
      <c r="C13" s="101" t="s">
        <v>115</v>
      </c>
    </row>
    <row r="14" spans="1:3" x14ac:dyDescent="0.35">
      <c r="A14" s="102" t="s">
        <v>116</v>
      </c>
      <c r="B14" s="98"/>
      <c r="C14" s="98"/>
    </row>
    <row r="15" spans="1:3" x14ac:dyDescent="0.35">
      <c r="A15" s="102" t="s">
        <v>117</v>
      </c>
      <c r="B15" s="103" t="s">
        <v>571</v>
      </c>
      <c r="C15" s="103" t="s">
        <v>572</v>
      </c>
    </row>
    <row r="16" spans="1:3" x14ac:dyDescent="0.35">
      <c r="A16" s="104" t="s">
        <v>120</v>
      </c>
      <c r="B16" s="105"/>
      <c r="C16" s="105"/>
    </row>
    <row r="17" spans="1:3" x14ac:dyDescent="0.35">
      <c r="A17" s="106" t="s">
        <v>121</v>
      </c>
      <c r="B17" s="109">
        <v>22062</v>
      </c>
      <c r="C17" s="109">
        <v>37416</v>
      </c>
    </row>
    <row r="18" spans="1:3" x14ac:dyDescent="0.35">
      <c r="A18" s="108" t="s">
        <v>12</v>
      </c>
      <c r="B18" s="107">
        <v>8249</v>
      </c>
      <c r="C18" s="109">
        <v>14265</v>
      </c>
    </row>
    <row r="19" spans="1:3" x14ac:dyDescent="0.35">
      <c r="A19" s="108" t="s">
        <v>14</v>
      </c>
      <c r="B19" s="109">
        <v>13813</v>
      </c>
      <c r="C19" s="109">
        <v>23151</v>
      </c>
    </row>
    <row r="20" spans="1:3" x14ac:dyDescent="0.35">
      <c r="A20" s="106" t="s">
        <v>122</v>
      </c>
      <c r="B20" s="107">
        <v>6078</v>
      </c>
      <c r="C20" s="109">
        <v>11439</v>
      </c>
    </row>
    <row r="21" spans="1:3" x14ac:dyDescent="0.35">
      <c r="A21" s="108" t="s">
        <v>16</v>
      </c>
      <c r="B21" s="107">
        <v>3478</v>
      </c>
      <c r="C21" s="107">
        <v>3839</v>
      </c>
    </row>
    <row r="22" spans="1:3" x14ac:dyDescent="0.35">
      <c r="A22" s="108" t="s">
        <v>454</v>
      </c>
      <c r="B22" s="107">
        <v>2600</v>
      </c>
      <c r="C22" s="107">
        <v>7600</v>
      </c>
    </row>
    <row r="23" spans="1:3" x14ac:dyDescent="0.35">
      <c r="A23" s="106" t="s">
        <v>18</v>
      </c>
      <c r="B23" s="109">
        <v>12198</v>
      </c>
      <c r="C23" s="109">
        <v>11618</v>
      </c>
    </row>
    <row r="24" spans="1:3" x14ac:dyDescent="0.35">
      <c r="A24" s="108" t="s">
        <v>125</v>
      </c>
      <c r="B24" s="107">
        <v>1344</v>
      </c>
      <c r="C24" s="107">
        <v>993</v>
      </c>
    </row>
    <row r="25" spans="1:3" x14ac:dyDescent="0.35">
      <c r="A25" s="108" t="s">
        <v>499</v>
      </c>
      <c r="B25" s="107">
        <v>7432</v>
      </c>
      <c r="C25" s="107">
        <v>7840</v>
      </c>
    </row>
    <row r="26" spans="1:3" x14ac:dyDescent="0.35">
      <c r="A26" s="108" t="s">
        <v>126</v>
      </c>
      <c r="B26" s="107">
        <v>3422</v>
      </c>
      <c r="C26" s="107">
        <v>2785</v>
      </c>
    </row>
    <row r="27" spans="1:3" x14ac:dyDescent="0.35">
      <c r="A27" s="106" t="s">
        <v>410</v>
      </c>
      <c r="B27" s="107">
        <v>6986</v>
      </c>
      <c r="C27" s="107">
        <v>3215</v>
      </c>
    </row>
    <row r="28" spans="1:3" x14ac:dyDescent="0.35">
      <c r="A28" s="108" t="s">
        <v>20</v>
      </c>
      <c r="B28" s="107">
        <v>6986</v>
      </c>
      <c r="C28" s="107">
        <v>3215</v>
      </c>
    </row>
    <row r="29" spans="1:3" x14ac:dyDescent="0.35">
      <c r="A29" s="111" t="s">
        <v>22</v>
      </c>
      <c r="B29" s="112">
        <v>47324</v>
      </c>
      <c r="C29" s="112">
        <v>63688</v>
      </c>
    </row>
    <row r="30" spans="1:3" x14ac:dyDescent="0.35">
      <c r="A30" s="104" t="s">
        <v>128</v>
      </c>
      <c r="B30" s="105"/>
      <c r="C30" s="105"/>
    </row>
    <row r="31" spans="1:3" x14ac:dyDescent="0.35">
      <c r="A31" s="106" t="s">
        <v>25</v>
      </c>
      <c r="B31" s="107">
        <v>5383</v>
      </c>
      <c r="C31" s="107">
        <v>8512</v>
      </c>
    </row>
    <row r="32" spans="1:3" x14ac:dyDescent="0.35">
      <c r="A32" s="108" t="s">
        <v>129</v>
      </c>
      <c r="B32" s="107">
        <v>5383</v>
      </c>
      <c r="C32" s="107">
        <v>8512</v>
      </c>
    </row>
    <row r="33" spans="1:3" x14ac:dyDescent="0.35">
      <c r="A33" s="108" t="s">
        <v>573</v>
      </c>
      <c r="B33" s="107">
        <v>848</v>
      </c>
      <c r="C33" s="107">
        <v>484</v>
      </c>
    </row>
    <row r="34" spans="1:3" x14ac:dyDescent="0.35">
      <c r="A34" s="106" t="s">
        <v>574</v>
      </c>
      <c r="B34" s="110">
        <v>1</v>
      </c>
      <c r="C34" s="110">
        <v>2</v>
      </c>
    </row>
    <row r="35" spans="1:3" x14ac:dyDescent="0.35">
      <c r="A35" s="106" t="s">
        <v>27</v>
      </c>
      <c r="B35" s="109">
        <v>108376</v>
      </c>
      <c r="C35" s="109">
        <v>105835</v>
      </c>
    </row>
    <row r="36" spans="1:3" x14ac:dyDescent="0.35">
      <c r="A36" s="108" t="s">
        <v>133</v>
      </c>
      <c r="B36" s="109">
        <v>108376</v>
      </c>
      <c r="C36" s="109">
        <v>105835</v>
      </c>
    </row>
    <row r="37" spans="1:3" x14ac:dyDescent="0.35">
      <c r="A37" s="108" t="s">
        <v>134</v>
      </c>
      <c r="B37" s="109">
        <v>210569</v>
      </c>
      <c r="C37" s="109">
        <v>212299</v>
      </c>
    </row>
    <row r="38" spans="1:3" x14ac:dyDescent="0.35">
      <c r="A38" s="108" t="s">
        <v>135</v>
      </c>
      <c r="B38" s="109">
        <v>210569</v>
      </c>
      <c r="C38" s="109">
        <v>212299</v>
      </c>
    </row>
    <row r="39" spans="1:3" x14ac:dyDescent="0.35">
      <c r="A39" s="108" t="s">
        <v>458</v>
      </c>
      <c r="B39" s="109">
        <v>56544</v>
      </c>
      <c r="C39" s="109">
        <v>65395</v>
      </c>
    </row>
    <row r="40" spans="1:3" x14ac:dyDescent="0.35">
      <c r="A40" s="108" t="s">
        <v>447</v>
      </c>
      <c r="B40" s="109">
        <v>103150</v>
      </c>
      <c r="C40" s="109">
        <v>111940</v>
      </c>
    </row>
    <row r="41" spans="1:3" x14ac:dyDescent="0.35">
      <c r="A41" s="108" t="s">
        <v>462</v>
      </c>
      <c r="B41" s="109">
        <v>50418</v>
      </c>
      <c r="C41" s="109">
        <v>34543</v>
      </c>
    </row>
    <row r="42" spans="1:3" x14ac:dyDescent="0.35">
      <c r="A42" s="108" t="s">
        <v>136</v>
      </c>
      <c r="B42" s="107">
        <v>457</v>
      </c>
      <c r="C42" s="107">
        <v>421</v>
      </c>
    </row>
    <row r="43" spans="1:3" x14ac:dyDescent="0.35">
      <c r="A43" s="108" t="s">
        <v>137</v>
      </c>
      <c r="B43" s="107">
        <v>457</v>
      </c>
      <c r="C43" s="107">
        <v>421</v>
      </c>
    </row>
    <row r="44" spans="1:3" x14ac:dyDescent="0.35">
      <c r="A44" s="108" t="s">
        <v>139</v>
      </c>
      <c r="B44" s="109">
        <v>102193</v>
      </c>
      <c r="C44" s="109">
        <v>106464</v>
      </c>
    </row>
    <row r="45" spans="1:3" x14ac:dyDescent="0.35">
      <c r="A45" s="108" t="s">
        <v>140</v>
      </c>
      <c r="B45" s="109">
        <v>102193</v>
      </c>
      <c r="C45" s="109">
        <v>106464</v>
      </c>
    </row>
    <row r="46" spans="1:3" x14ac:dyDescent="0.35">
      <c r="A46" s="106" t="s">
        <v>141</v>
      </c>
      <c r="B46" s="107">
        <v>7017</v>
      </c>
      <c r="C46" s="107">
        <v>6708</v>
      </c>
    </row>
    <row r="47" spans="1:3" x14ac:dyDescent="0.35">
      <c r="A47" s="108" t="s">
        <v>142</v>
      </c>
      <c r="B47" s="109"/>
      <c r="C47" s="107">
        <v>447</v>
      </c>
    </row>
    <row r="48" spans="1:3" x14ac:dyDescent="0.35">
      <c r="A48" s="108" t="s">
        <v>419</v>
      </c>
      <c r="B48" s="107">
        <v>603</v>
      </c>
      <c r="C48" s="107">
        <v>570</v>
      </c>
    </row>
    <row r="49" spans="1:3" x14ac:dyDescent="0.35">
      <c r="A49" s="108" t="s">
        <v>31</v>
      </c>
      <c r="B49" s="107">
        <v>6414</v>
      </c>
      <c r="C49" s="107">
        <v>5691</v>
      </c>
    </row>
    <row r="50" spans="1:3" x14ac:dyDescent="0.35">
      <c r="A50" s="106" t="s">
        <v>29</v>
      </c>
      <c r="B50" s="109">
        <v>28384</v>
      </c>
      <c r="C50" s="109">
        <v>26684</v>
      </c>
    </row>
    <row r="51" spans="1:3" x14ac:dyDescent="0.35">
      <c r="A51" s="108" t="s">
        <v>421</v>
      </c>
      <c r="B51" s="109">
        <v>24693</v>
      </c>
      <c r="C51" s="109">
        <v>23912</v>
      </c>
    </row>
    <row r="52" spans="1:3" x14ac:dyDescent="0.35">
      <c r="A52" s="108" t="s">
        <v>464</v>
      </c>
      <c r="B52" s="107">
        <v>3691</v>
      </c>
      <c r="C52" s="107">
        <v>2772</v>
      </c>
    </row>
    <row r="53" spans="1:3" x14ac:dyDescent="0.35">
      <c r="A53" s="108" t="s">
        <v>489</v>
      </c>
      <c r="B53" s="107">
        <v>1617</v>
      </c>
      <c r="C53" s="107">
        <v>967</v>
      </c>
    </row>
    <row r="54" spans="1:3" x14ac:dyDescent="0.35">
      <c r="A54" s="108" t="s">
        <v>545</v>
      </c>
      <c r="B54" s="107">
        <v>1535</v>
      </c>
      <c r="C54" s="107">
        <v>1577</v>
      </c>
    </row>
    <row r="55" spans="1:3" x14ac:dyDescent="0.35">
      <c r="A55" s="108" t="s">
        <v>491</v>
      </c>
      <c r="B55" s="107">
        <v>539</v>
      </c>
      <c r="C55" s="107">
        <v>228</v>
      </c>
    </row>
    <row r="56" spans="1:3" x14ac:dyDescent="0.35">
      <c r="A56" s="111" t="s">
        <v>33</v>
      </c>
      <c r="B56" s="112">
        <v>149161</v>
      </c>
      <c r="C56" s="112">
        <v>147741</v>
      </c>
    </row>
    <row r="57" spans="1:3" x14ac:dyDescent="0.35">
      <c r="A57" s="104" t="s">
        <v>35</v>
      </c>
      <c r="B57" s="105"/>
      <c r="C57" s="105"/>
    </row>
    <row r="58" spans="1:3" x14ac:dyDescent="0.35">
      <c r="A58" s="111" t="s">
        <v>35</v>
      </c>
      <c r="B58" s="112">
        <v>196485</v>
      </c>
      <c r="C58" s="112">
        <v>211429</v>
      </c>
    </row>
    <row r="59" spans="1:3" x14ac:dyDescent="0.35">
      <c r="A59" s="104" t="s">
        <v>143</v>
      </c>
      <c r="B59" s="105"/>
      <c r="C59" s="105"/>
    </row>
    <row r="60" spans="1:3" x14ac:dyDescent="0.35">
      <c r="A60" s="106" t="s">
        <v>144</v>
      </c>
      <c r="B60" s="109">
        <v>30000</v>
      </c>
      <c r="C60" s="109">
        <v>28362</v>
      </c>
    </row>
    <row r="61" spans="1:3" x14ac:dyDescent="0.35">
      <c r="A61" s="108" t="s">
        <v>37</v>
      </c>
      <c r="B61" s="109">
        <v>12556</v>
      </c>
      <c r="C61" s="107">
        <v>9882</v>
      </c>
    </row>
    <row r="62" spans="1:3" x14ac:dyDescent="0.35">
      <c r="A62" s="108" t="s">
        <v>145</v>
      </c>
      <c r="B62" s="109">
        <v>17444</v>
      </c>
      <c r="C62" s="109">
        <v>18480</v>
      </c>
    </row>
    <row r="63" spans="1:3" x14ac:dyDescent="0.35">
      <c r="A63" s="106" t="s">
        <v>39</v>
      </c>
      <c r="B63" s="107">
        <v>3836</v>
      </c>
      <c r="C63" s="107">
        <v>2595</v>
      </c>
    </row>
    <row r="64" spans="1:3" x14ac:dyDescent="0.35">
      <c r="A64" s="108" t="s">
        <v>146</v>
      </c>
      <c r="B64" s="107">
        <v>3836</v>
      </c>
      <c r="C64" s="107">
        <v>2595</v>
      </c>
    </row>
    <row r="65" spans="1:3" x14ac:dyDescent="0.35">
      <c r="A65" s="108" t="s">
        <v>147</v>
      </c>
      <c r="B65" s="107">
        <v>3729</v>
      </c>
      <c r="C65" s="107">
        <v>2499</v>
      </c>
    </row>
    <row r="66" spans="1:3" x14ac:dyDescent="0.35">
      <c r="A66" s="108" t="s">
        <v>148</v>
      </c>
      <c r="B66" s="107">
        <v>107</v>
      </c>
      <c r="C66" s="110">
        <v>96</v>
      </c>
    </row>
    <row r="67" spans="1:3" x14ac:dyDescent="0.35">
      <c r="A67" s="106" t="s">
        <v>149</v>
      </c>
      <c r="B67" s="107">
        <v>1756</v>
      </c>
      <c r="C67" s="107">
        <v>604</v>
      </c>
    </row>
    <row r="68" spans="1:3" x14ac:dyDescent="0.35">
      <c r="A68" s="106" t="s">
        <v>150</v>
      </c>
      <c r="B68" s="107">
        <v>181</v>
      </c>
      <c r="C68" s="107">
        <v>110</v>
      </c>
    </row>
    <row r="69" spans="1:3" x14ac:dyDescent="0.35">
      <c r="A69" s="106" t="s">
        <v>423</v>
      </c>
      <c r="B69" s="113">
        <v>-107</v>
      </c>
      <c r="C69" s="114">
        <v>-96</v>
      </c>
    </row>
    <row r="70" spans="1:3" x14ac:dyDescent="0.35">
      <c r="A70" s="108" t="s">
        <v>41</v>
      </c>
      <c r="B70" s="113">
        <v>-107</v>
      </c>
      <c r="C70" s="114">
        <v>-96</v>
      </c>
    </row>
    <row r="71" spans="1:3" x14ac:dyDescent="0.35">
      <c r="A71" s="111" t="s">
        <v>43</v>
      </c>
      <c r="B71" s="112">
        <v>35666</v>
      </c>
      <c r="C71" s="112">
        <v>31575</v>
      </c>
    </row>
    <row r="72" spans="1:3" x14ac:dyDescent="0.35">
      <c r="A72" s="104" t="s">
        <v>151</v>
      </c>
      <c r="B72" s="105"/>
      <c r="C72" s="105"/>
    </row>
    <row r="73" spans="1:3" x14ac:dyDescent="0.35">
      <c r="A73" s="106" t="s">
        <v>45</v>
      </c>
      <c r="B73" s="109">
        <v>46410</v>
      </c>
      <c r="C73" s="109">
        <v>44123</v>
      </c>
    </row>
    <row r="74" spans="1:3" x14ac:dyDescent="0.35">
      <c r="A74" s="108" t="s">
        <v>152</v>
      </c>
      <c r="B74" s="109">
        <v>46282</v>
      </c>
      <c r="C74" s="109">
        <v>44086</v>
      </c>
    </row>
    <row r="75" spans="1:3" x14ac:dyDescent="0.35">
      <c r="A75" s="108" t="s">
        <v>153</v>
      </c>
      <c r="B75" s="109">
        <v>46282</v>
      </c>
      <c r="C75" s="109">
        <v>44086</v>
      </c>
    </row>
    <row r="76" spans="1:3" x14ac:dyDescent="0.35">
      <c r="A76" s="108" t="s">
        <v>154</v>
      </c>
      <c r="B76" s="107">
        <v>128</v>
      </c>
      <c r="C76" s="110">
        <v>37</v>
      </c>
    </row>
    <row r="77" spans="1:3" x14ac:dyDescent="0.35">
      <c r="A77" s="106" t="s">
        <v>157</v>
      </c>
      <c r="B77" s="107">
        <v>279</v>
      </c>
      <c r="C77" s="107">
        <v>281</v>
      </c>
    </row>
    <row r="78" spans="1:3" x14ac:dyDescent="0.35">
      <c r="A78" s="106" t="s">
        <v>158</v>
      </c>
      <c r="B78" s="107">
        <v>9098</v>
      </c>
      <c r="C78" s="107">
        <v>9090</v>
      </c>
    </row>
    <row r="79" spans="1:3" x14ac:dyDescent="0.35">
      <c r="A79" s="108" t="s">
        <v>47</v>
      </c>
      <c r="B79" s="107">
        <v>9098</v>
      </c>
      <c r="C79" s="107">
        <v>9090</v>
      </c>
    </row>
    <row r="80" spans="1:3" x14ac:dyDescent="0.35">
      <c r="A80" s="106" t="s">
        <v>49</v>
      </c>
      <c r="B80" s="109">
        <v>55787</v>
      </c>
      <c r="C80" s="109">
        <v>53494</v>
      </c>
    </row>
    <row r="81" spans="1:3" x14ac:dyDescent="0.35">
      <c r="A81" s="104" t="s">
        <v>51</v>
      </c>
      <c r="B81" s="105"/>
      <c r="C81" s="105"/>
    </row>
    <row r="82" spans="1:3" x14ac:dyDescent="0.35">
      <c r="A82" s="111" t="s">
        <v>51</v>
      </c>
      <c r="B82" s="112">
        <v>91453</v>
      </c>
      <c r="C82" s="112">
        <v>85069</v>
      </c>
    </row>
    <row r="83" spans="1:3" x14ac:dyDescent="0.35">
      <c r="A83" s="104" t="s">
        <v>162</v>
      </c>
      <c r="B83" s="105"/>
      <c r="C83" s="105"/>
    </row>
    <row r="84" spans="1:3" x14ac:dyDescent="0.35">
      <c r="A84" s="106" t="s">
        <v>163</v>
      </c>
      <c r="B84" s="109">
        <v>99270</v>
      </c>
      <c r="C84" s="109">
        <v>114281</v>
      </c>
    </row>
    <row r="85" spans="1:3" x14ac:dyDescent="0.35">
      <c r="A85" s="108" t="s">
        <v>424</v>
      </c>
      <c r="B85" s="109">
        <v>0</v>
      </c>
      <c r="C85" s="109">
        <v>0</v>
      </c>
    </row>
    <row r="86" spans="1:3" x14ac:dyDescent="0.35">
      <c r="A86" s="108" t="s">
        <v>425</v>
      </c>
      <c r="B86" s="109">
        <v>0</v>
      </c>
      <c r="C86" s="109">
        <v>0</v>
      </c>
    </row>
    <row r="87" spans="1:3" x14ac:dyDescent="0.35">
      <c r="A87" s="108" t="s">
        <v>426</v>
      </c>
      <c r="B87" s="109">
        <v>0</v>
      </c>
      <c r="C87" s="109">
        <v>0</v>
      </c>
    </row>
    <row r="88" spans="1:3" x14ac:dyDescent="0.35">
      <c r="A88" s="108" t="s">
        <v>164</v>
      </c>
      <c r="B88" s="109">
        <v>99270</v>
      </c>
      <c r="C88" s="109">
        <v>114281</v>
      </c>
    </row>
    <row r="89" spans="1:3" x14ac:dyDescent="0.35">
      <c r="A89" s="108" t="s">
        <v>166</v>
      </c>
      <c r="B89" s="109">
        <v>50949</v>
      </c>
      <c r="C89" s="109">
        <v>65185</v>
      </c>
    </row>
    <row r="90" spans="1:3" x14ac:dyDescent="0.35">
      <c r="A90" s="108" t="s">
        <v>167</v>
      </c>
      <c r="B90" s="110">
        <v>4.33</v>
      </c>
      <c r="C90" s="110">
        <v>4.99</v>
      </c>
    </row>
    <row r="91" spans="1:3" x14ac:dyDescent="0.35">
      <c r="A91" s="108" t="s">
        <v>168</v>
      </c>
      <c r="B91" s="109">
        <v>50944.67</v>
      </c>
      <c r="C91" s="109">
        <v>65180.01</v>
      </c>
    </row>
    <row r="92" spans="1:3" x14ac:dyDescent="0.35">
      <c r="A92" s="108" t="s">
        <v>169</v>
      </c>
      <c r="B92" s="109">
        <v>48321</v>
      </c>
      <c r="C92" s="109">
        <v>49096</v>
      </c>
    </row>
    <row r="93" spans="1:3" x14ac:dyDescent="0.35">
      <c r="A93" s="108" t="s">
        <v>170</v>
      </c>
      <c r="B93" s="109">
        <v>49032</v>
      </c>
      <c r="C93" s="109">
        <v>48983</v>
      </c>
    </row>
    <row r="94" spans="1:3" x14ac:dyDescent="0.35">
      <c r="A94" s="108" t="s">
        <v>171</v>
      </c>
      <c r="B94" s="113">
        <v>-711</v>
      </c>
      <c r="C94" s="107">
        <v>113</v>
      </c>
    </row>
    <row r="95" spans="1:3" x14ac:dyDescent="0.35">
      <c r="A95" s="108" t="s">
        <v>173</v>
      </c>
      <c r="B95" s="113">
        <v>-582</v>
      </c>
      <c r="C95" s="107">
        <v>161</v>
      </c>
    </row>
    <row r="96" spans="1:3" x14ac:dyDescent="0.35">
      <c r="A96" s="108" t="s">
        <v>174</v>
      </c>
      <c r="B96" s="110">
        <v>4</v>
      </c>
      <c r="C96" s="110">
        <v>7</v>
      </c>
    </row>
    <row r="97" spans="1:3" x14ac:dyDescent="0.35">
      <c r="A97" s="108" t="s">
        <v>175</v>
      </c>
      <c r="B97" s="113">
        <v>-133</v>
      </c>
      <c r="C97" s="114">
        <v>-55</v>
      </c>
    </row>
    <row r="98" spans="1:3" x14ac:dyDescent="0.35">
      <c r="A98" s="108" t="s">
        <v>53</v>
      </c>
      <c r="B98" s="109">
        <v>99270</v>
      </c>
      <c r="C98" s="109">
        <v>114281</v>
      </c>
    </row>
    <row r="99" spans="1:3" x14ac:dyDescent="0.35">
      <c r="A99" s="106" t="s">
        <v>428</v>
      </c>
      <c r="B99" s="107">
        <v>5762</v>
      </c>
      <c r="C99" s="109">
        <v>12079</v>
      </c>
    </row>
    <row r="100" spans="1:3" x14ac:dyDescent="0.35">
      <c r="A100" s="104" t="s">
        <v>176</v>
      </c>
      <c r="B100" s="105"/>
      <c r="C100" s="105"/>
    </row>
    <row r="101" spans="1:3" x14ac:dyDescent="0.35">
      <c r="A101" s="111" t="s">
        <v>57</v>
      </c>
      <c r="B101" s="112">
        <v>105032</v>
      </c>
      <c r="C101" s="112">
        <v>126360</v>
      </c>
    </row>
    <row r="102" spans="1:3" x14ac:dyDescent="0.35">
      <c r="A102" s="104" t="s">
        <v>177</v>
      </c>
      <c r="B102" s="105"/>
      <c r="C102" s="105"/>
    </row>
    <row r="103" spans="1:3" x14ac:dyDescent="0.35">
      <c r="A103" s="111" t="s">
        <v>60</v>
      </c>
      <c r="B103" s="112">
        <v>196485</v>
      </c>
      <c r="C103" s="112">
        <v>211429</v>
      </c>
    </row>
    <row r="104" spans="1:3" x14ac:dyDescent="0.35">
      <c r="A104" s="104" t="s">
        <v>178</v>
      </c>
      <c r="B104" s="105"/>
      <c r="C104" s="105"/>
    </row>
    <row r="105" spans="1:3" x14ac:dyDescent="0.35">
      <c r="A105" s="106" t="s">
        <v>179</v>
      </c>
      <c r="B105" s="107">
        <v>4330</v>
      </c>
      <c r="C105" s="107">
        <v>4994</v>
      </c>
    </row>
    <row r="106" spans="1:3" x14ac:dyDescent="0.35">
      <c r="A106" s="108" t="s">
        <v>180</v>
      </c>
      <c r="B106" s="107">
        <v>4330</v>
      </c>
      <c r="C106" s="107">
        <v>4994</v>
      </c>
    </row>
    <row r="107" spans="1:3" x14ac:dyDescent="0.35">
      <c r="A107" s="108" t="s">
        <v>181</v>
      </c>
      <c r="B107" s="109">
        <v>0</v>
      </c>
      <c r="C107" s="109">
        <v>0</v>
      </c>
    </row>
    <row r="108" spans="1:3" x14ac:dyDescent="0.35">
      <c r="A108" s="106" t="s">
        <v>182</v>
      </c>
      <c r="B108" s="110">
        <v>10000</v>
      </c>
      <c r="C108" s="110">
        <v>10000</v>
      </c>
    </row>
    <row r="109" spans="1:3" x14ac:dyDescent="0.35">
      <c r="A109" s="106" t="s">
        <v>183</v>
      </c>
      <c r="B109" s="107">
        <v>4330</v>
      </c>
      <c r="C109" s="107">
        <v>4994</v>
      </c>
    </row>
    <row r="110" spans="1:3" x14ac:dyDescent="0.35">
      <c r="A110" s="108" t="s">
        <v>184</v>
      </c>
      <c r="B110" s="107">
        <v>4330</v>
      </c>
      <c r="C110" s="107">
        <v>4994</v>
      </c>
    </row>
    <row r="111" spans="1:3" x14ac:dyDescent="0.35">
      <c r="A111" s="108" t="s">
        <v>185</v>
      </c>
      <c r="B111" s="109">
        <v>0</v>
      </c>
      <c r="C111" s="109">
        <v>0</v>
      </c>
    </row>
    <row r="112" spans="1:3" x14ac:dyDescent="0.35">
      <c r="A112" s="104" t="s">
        <v>186</v>
      </c>
      <c r="B112" s="105"/>
      <c r="C112" s="105"/>
    </row>
    <row r="113" spans="1:3" x14ac:dyDescent="0.35">
      <c r="A113" s="106" t="s">
        <v>187</v>
      </c>
      <c r="B113" s="110">
        <v>1</v>
      </c>
      <c r="C113" s="110">
        <v>1</v>
      </c>
    </row>
    <row r="114" spans="1:3" x14ac:dyDescent="0.35">
      <c r="A114" s="104" t="s">
        <v>188</v>
      </c>
      <c r="B114" s="105"/>
      <c r="C114" s="105"/>
    </row>
    <row r="115" spans="1:3" x14ac:dyDescent="0.35">
      <c r="A115" s="106" t="s">
        <v>189</v>
      </c>
      <c r="B115" s="107">
        <v>927</v>
      </c>
      <c r="C115" s="107">
        <v>874</v>
      </c>
    </row>
    <row r="116" spans="1:3" x14ac:dyDescent="0.35">
      <c r="A116" s="108" t="s">
        <v>190</v>
      </c>
      <c r="B116" s="107">
        <v>457</v>
      </c>
      <c r="C116" s="107">
        <v>421</v>
      </c>
    </row>
    <row r="117" spans="1:3" x14ac:dyDescent="0.35">
      <c r="A117" s="108" t="s">
        <v>191</v>
      </c>
      <c r="B117" s="107">
        <v>470</v>
      </c>
      <c r="C117" s="107">
        <v>453</v>
      </c>
    </row>
    <row r="118" spans="1:3" x14ac:dyDescent="0.35">
      <c r="A118" s="106" t="s">
        <v>192</v>
      </c>
      <c r="B118" s="109">
        <v>107449</v>
      </c>
      <c r="C118" s="109">
        <v>104961</v>
      </c>
    </row>
    <row r="119" spans="1:3" x14ac:dyDescent="0.35">
      <c r="A119" s="104" t="s">
        <v>193</v>
      </c>
      <c r="B119" s="105"/>
      <c r="C119" s="105"/>
    </row>
    <row r="120" spans="1:3" x14ac:dyDescent="0.35">
      <c r="A120" s="106" t="s">
        <v>194</v>
      </c>
      <c r="B120" s="107">
        <v>460</v>
      </c>
      <c r="C120" s="107">
        <v>391</v>
      </c>
    </row>
    <row r="121" spans="1:3" x14ac:dyDescent="0.35">
      <c r="A121" s="108" t="s">
        <v>195</v>
      </c>
      <c r="B121" s="107">
        <v>181</v>
      </c>
      <c r="C121" s="107">
        <v>110</v>
      </c>
    </row>
    <row r="122" spans="1:3" x14ac:dyDescent="0.35">
      <c r="A122" s="108" t="s">
        <v>196</v>
      </c>
      <c r="B122" s="107">
        <v>279</v>
      </c>
      <c r="C122" s="107">
        <v>281</v>
      </c>
    </row>
    <row r="123" spans="1:3" x14ac:dyDescent="0.35">
      <c r="A123" s="106" t="s">
        <v>197</v>
      </c>
      <c r="B123" s="107">
        <v>695</v>
      </c>
      <c r="C123" s="107">
        <v>524</v>
      </c>
    </row>
    <row r="124" spans="1:3" x14ac:dyDescent="0.35">
      <c r="A124" s="106" t="s">
        <v>198</v>
      </c>
      <c r="B124" s="109">
        <v>50706</v>
      </c>
      <c r="C124" s="109">
        <v>47109</v>
      </c>
    </row>
    <row r="125" spans="1:3" x14ac:dyDescent="0.35">
      <c r="A125" s="104" t="s">
        <v>199</v>
      </c>
      <c r="B125" s="105"/>
      <c r="C125" s="105"/>
    </row>
    <row r="126" spans="1:3" x14ac:dyDescent="0.35">
      <c r="A126" s="106" t="s">
        <v>575</v>
      </c>
      <c r="B126" s="110">
        <v>1</v>
      </c>
      <c r="C126" s="110">
        <v>2</v>
      </c>
    </row>
    <row r="127" spans="1:3" x14ac:dyDescent="0.35">
      <c r="A127" s="106" t="s">
        <v>200</v>
      </c>
      <c r="B127" s="109">
        <v>19196</v>
      </c>
      <c r="C127" s="109">
        <v>31663</v>
      </c>
    </row>
    <row r="128" spans="1:3" x14ac:dyDescent="0.35">
      <c r="A128" s="106" t="s">
        <v>201</v>
      </c>
      <c r="B128" s="107">
        <v>6078</v>
      </c>
      <c r="C128" s="109">
        <v>11439</v>
      </c>
    </row>
    <row r="129" spans="1:3" x14ac:dyDescent="0.35">
      <c r="A129" s="106" t="s">
        <v>203</v>
      </c>
      <c r="B129" s="109">
        <v>14003</v>
      </c>
      <c r="C129" s="107">
        <v>9923</v>
      </c>
    </row>
    <row r="130" spans="1:3" x14ac:dyDescent="0.35">
      <c r="A130" s="106" t="s">
        <v>204</v>
      </c>
      <c r="B130" s="107">
        <v>1756</v>
      </c>
      <c r="C130" s="107">
        <v>604</v>
      </c>
    </row>
    <row r="131" spans="1:3" x14ac:dyDescent="0.35">
      <c r="A131" s="106" t="s">
        <v>205</v>
      </c>
      <c r="B131" s="109">
        <v>30000</v>
      </c>
      <c r="C131" s="109">
        <v>28362</v>
      </c>
    </row>
    <row r="132" spans="1:3" x14ac:dyDescent="0.35">
      <c r="A132" s="108" t="s">
        <v>206</v>
      </c>
      <c r="B132" s="109">
        <v>12556</v>
      </c>
      <c r="C132" s="107">
        <v>9882</v>
      </c>
    </row>
    <row r="133" spans="1:3" x14ac:dyDescent="0.35">
      <c r="A133" s="108" t="s">
        <v>207</v>
      </c>
      <c r="B133" s="109">
        <v>17444</v>
      </c>
      <c r="C133" s="109">
        <v>18480</v>
      </c>
    </row>
    <row r="134" spans="1:3" x14ac:dyDescent="0.35">
      <c r="A134" s="104" t="s">
        <v>208</v>
      </c>
      <c r="B134" s="105"/>
      <c r="C134" s="105"/>
    </row>
    <row r="135" spans="1:3" x14ac:dyDescent="0.35">
      <c r="A135" s="106" t="s">
        <v>209</v>
      </c>
      <c r="B135" s="109">
        <v>28184</v>
      </c>
      <c r="C135" s="107">
        <v>9302</v>
      </c>
    </row>
    <row r="136" spans="1:3" x14ac:dyDescent="0.35">
      <c r="A136" s="106" t="s">
        <v>210</v>
      </c>
      <c r="B136" s="109">
        <v>50246</v>
      </c>
      <c r="C136" s="109">
        <v>46718</v>
      </c>
    </row>
    <row r="137" spans="1:3" x14ac:dyDescent="0.35">
      <c r="A137" s="106" t="s">
        <v>211</v>
      </c>
      <c r="B137" s="109">
        <v>0</v>
      </c>
      <c r="C137" s="109">
        <v>0</v>
      </c>
    </row>
    <row r="138" spans="1:3" x14ac:dyDescent="0.35">
      <c r="A138" s="106" t="s">
        <v>213</v>
      </c>
      <c r="B138" s="109">
        <v>12000</v>
      </c>
      <c r="C138" s="109">
        <v>12000</v>
      </c>
    </row>
    <row r="139" spans="1:3" x14ac:dyDescent="0.35">
      <c r="A139" s="104" t="s">
        <v>214</v>
      </c>
      <c r="B139" s="105"/>
      <c r="C139" s="105"/>
    </row>
    <row r="140" spans="1:3" x14ac:dyDescent="0.35">
      <c r="A140" s="106" t="s">
        <v>215</v>
      </c>
      <c r="B140" s="109">
        <v>50985</v>
      </c>
      <c r="C140" s="109">
        <v>47235</v>
      </c>
    </row>
    <row r="141" spans="1:3" x14ac:dyDescent="0.35">
      <c r="A141" s="108" t="s">
        <v>216</v>
      </c>
      <c r="B141" s="107">
        <v>3750</v>
      </c>
      <c r="C141" s="107">
        <v>2500</v>
      </c>
    </row>
    <row r="142" spans="1:3" x14ac:dyDescent="0.35">
      <c r="A142" s="108" t="s">
        <v>217</v>
      </c>
      <c r="B142" s="107">
        <v>2500</v>
      </c>
      <c r="C142" s="107">
        <v>3826</v>
      </c>
    </row>
    <row r="143" spans="1:3" x14ac:dyDescent="0.35">
      <c r="A143" s="108" t="s">
        <v>218</v>
      </c>
      <c r="B143" s="107">
        <v>3826</v>
      </c>
      <c r="C143" s="107">
        <v>3173</v>
      </c>
    </row>
    <row r="144" spans="1:3" x14ac:dyDescent="0.35">
      <c r="A144" s="108" t="s">
        <v>219</v>
      </c>
      <c r="B144" s="107">
        <v>3173</v>
      </c>
      <c r="C144" s="107">
        <v>3288</v>
      </c>
    </row>
    <row r="145" spans="1:3" x14ac:dyDescent="0.35">
      <c r="A145" s="108" t="s">
        <v>220</v>
      </c>
      <c r="B145" s="107">
        <v>3288</v>
      </c>
      <c r="C145" s="107">
        <v>2750</v>
      </c>
    </row>
    <row r="146" spans="1:3" x14ac:dyDescent="0.35">
      <c r="A146" s="108" t="s">
        <v>431</v>
      </c>
      <c r="B146" s="109">
        <v>34448</v>
      </c>
      <c r="C146" s="109">
        <v>31698</v>
      </c>
    </row>
    <row r="147" spans="1:3" x14ac:dyDescent="0.35">
      <c r="A147" s="106" t="s">
        <v>221</v>
      </c>
      <c r="B147" s="107">
        <v>6326</v>
      </c>
      <c r="C147" s="107">
        <v>6999</v>
      </c>
    </row>
    <row r="148" spans="1:3" x14ac:dyDescent="0.35">
      <c r="A148" s="106" t="s">
        <v>222</v>
      </c>
      <c r="B148" s="107">
        <v>6461</v>
      </c>
      <c r="C148" s="107">
        <v>6038</v>
      </c>
    </row>
    <row r="149" spans="1:3" x14ac:dyDescent="0.35">
      <c r="A149" s="106" t="s">
        <v>432</v>
      </c>
      <c r="B149" s="109">
        <v>34448</v>
      </c>
      <c r="C149" s="109">
        <v>31698</v>
      </c>
    </row>
    <row r="150" spans="1:3" x14ac:dyDescent="0.35">
      <c r="A150" s="104" t="s">
        <v>223</v>
      </c>
      <c r="B150" s="105"/>
      <c r="C150" s="105"/>
    </row>
    <row r="151" spans="1:3" x14ac:dyDescent="0.35">
      <c r="A151" s="106" t="s">
        <v>224</v>
      </c>
      <c r="B151" s="107">
        <v>235</v>
      </c>
      <c r="C151" s="107">
        <v>133</v>
      </c>
    </row>
    <row r="152" spans="1:3" x14ac:dyDescent="0.35">
      <c r="A152" s="108" t="s">
        <v>225</v>
      </c>
      <c r="B152" s="107">
        <v>107</v>
      </c>
      <c r="C152" s="110">
        <v>96</v>
      </c>
    </row>
    <row r="153" spans="1:3" x14ac:dyDescent="0.35">
      <c r="A153" s="108" t="s">
        <v>226</v>
      </c>
      <c r="B153" s="107">
        <v>106</v>
      </c>
      <c r="C153" s="110">
        <v>6</v>
      </c>
    </row>
    <row r="154" spans="1:3" x14ac:dyDescent="0.35">
      <c r="A154" s="108" t="s">
        <v>227</v>
      </c>
      <c r="B154" s="110">
        <v>16</v>
      </c>
      <c r="C154" s="110">
        <v>6</v>
      </c>
    </row>
    <row r="155" spans="1:3" x14ac:dyDescent="0.35">
      <c r="A155" s="108" t="s">
        <v>228</v>
      </c>
      <c r="B155" s="110">
        <v>6</v>
      </c>
      <c r="C155" s="110">
        <v>3</v>
      </c>
    </row>
    <row r="156" spans="1:3" x14ac:dyDescent="0.35">
      <c r="A156" s="108" t="s">
        <v>229</v>
      </c>
      <c r="B156" s="109">
        <v>0</v>
      </c>
      <c r="C156" s="110">
        <v>3</v>
      </c>
    </row>
    <row r="157" spans="1:3" x14ac:dyDescent="0.35">
      <c r="A157" s="108" t="s">
        <v>230</v>
      </c>
      <c r="B157" s="109">
        <v>0</v>
      </c>
      <c r="C157" s="110">
        <v>19</v>
      </c>
    </row>
    <row r="158" spans="1:3" x14ac:dyDescent="0.35">
      <c r="A158" s="106" t="s">
        <v>232</v>
      </c>
      <c r="B158" s="107">
        <v>122</v>
      </c>
      <c r="C158" s="110">
        <v>12</v>
      </c>
    </row>
    <row r="159" spans="1:3" x14ac:dyDescent="0.35">
      <c r="A159" s="106" t="s">
        <v>233</v>
      </c>
      <c r="B159" s="110">
        <v>6</v>
      </c>
      <c r="C159" s="110">
        <v>6</v>
      </c>
    </row>
    <row r="160" spans="1:3" x14ac:dyDescent="0.35">
      <c r="A160" s="106" t="s">
        <v>234</v>
      </c>
      <c r="B160" s="109">
        <v>0</v>
      </c>
      <c r="C160" s="110">
        <v>19</v>
      </c>
    </row>
    <row r="161" spans="1:3" x14ac:dyDescent="0.35">
      <c r="A161" s="104" t="s">
        <v>235</v>
      </c>
      <c r="B161" s="105"/>
      <c r="C161" s="105"/>
    </row>
    <row r="162" spans="1:3" x14ac:dyDescent="0.35">
      <c r="A162" s="106" t="s">
        <v>236</v>
      </c>
      <c r="B162" s="110">
        <v>6.5</v>
      </c>
      <c r="C162" s="110">
        <v>6.7</v>
      </c>
    </row>
    <row r="163" spans="1:3" x14ac:dyDescent="0.35">
      <c r="A163" s="106" t="s">
        <v>237</v>
      </c>
      <c r="B163" s="110">
        <v>6</v>
      </c>
      <c r="C163" s="110">
        <v>6</v>
      </c>
    </row>
    <row r="164" spans="1:3" x14ac:dyDescent="0.35">
      <c r="A164" s="106" t="s">
        <v>238</v>
      </c>
      <c r="B164" s="115">
        <v>0</v>
      </c>
      <c r="C164" s="115">
        <v>0</v>
      </c>
    </row>
    <row r="165" spans="1:3" x14ac:dyDescent="0.35">
      <c r="A165" s="104" t="s">
        <v>82</v>
      </c>
      <c r="B165" s="105"/>
      <c r="C165" s="105"/>
    </row>
    <row r="166" spans="1:3" x14ac:dyDescent="0.35">
      <c r="A166" s="106" t="s">
        <v>433</v>
      </c>
      <c r="B166" s="107">
        <v>5762</v>
      </c>
      <c r="C166" s="109">
        <v>12079</v>
      </c>
    </row>
    <row r="167" spans="1:3" x14ac:dyDescent="0.35">
      <c r="A167" s="106" t="s">
        <v>240</v>
      </c>
      <c r="B167" s="107">
        <v>3409</v>
      </c>
      <c r="C167" s="109">
        <v>17848</v>
      </c>
    </row>
    <row r="168" spans="1:3" x14ac:dyDescent="0.35">
      <c r="A168" s="106" t="s">
        <v>241</v>
      </c>
      <c r="B168" s="109">
        <v>163543</v>
      </c>
      <c r="C168" s="109">
        <v>173252</v>
      </c>
    </row>
    <row r="169" spans="1:3" x14ac:dyDescent="0.35">
      <c r="A169" s="106" t="s">
        <v>242</v>
      </c>
      <c r="B169" s="107">
        <v>8249</v>
      </c>
      <c r="C169" s="109">
        <v>14265</v>
      </c>
    </row>
    <row r="170" spans="1:3" x14ac:dyDescent="0.35">
      <c r="A170" s="106" t="s">
        <v>243</v>
      </c>
      <c r="B170" s="109">
        <v>22062</v>
      </c>
      <c r="C170" s="109">
        <v>37416</v>
      </c>
    </row>
    <row r="171" spans="1:3" x14ac:dyDescent="0.35">
      <c r="A171" s="106" t="s">
        <v>244</v>
      </c>
      <c r="B171" s="109">
        <v>56008</v>
      </c>
      <c r="C171" s="109">
        <v>58797</v>
      </c>
    </row>
    <row r="172" spans="1:3" x14ac:dyDescent="0.35">
      <c r="A172" s="106" t="s">
        <v>245</v>
      </c>
      <c r="B172" s="107">
        <v>5383</v>
      </c>
      <c r="C172" s="107">
        <v>8512</v>
      </c>
    </row>
    <row r="173" spans="1:3" x14ac:dyDescent="0.35">
      <c r="A173" s="106" t="s">
        <v>246</v>
      </c>
      <c r="B173" s="109">
        <v>133216</v>
      </c>
      <c r="C173" s="109">
        <v>135662</v>
      </c>
    </row>
    <row r="174" spans="1:3" x14ac:dyDescent="0.35">
      <c r="A174" s="106" t="s">
        <v>247</v>
      </c>
      <c r="B174" s="109">
        <v>133216</v>
      </c>
      <c r="C174" s="109">
        <v>135662</v>
      </c>
    </row>
    <row r="175" spans="1:3" x14ac:dyDescent="0.35">
      <c r="A175" s="106" t="s">
        <v>249</v>
      </c>
      <c r="B175" s="109">
        <v>99270</v>
      </c>
      <c r="C175" s="109">
        <v>114281</v>
      </c>
    </row>
    <row r="176" spans="1:3" x14ac:dyDescent="0.35">
      <c r="A176" s="106" t="s">
        <v>250</v>
      </c>
      <c r="B176" s="109">
        <v>76648</v>
      </c>
      <c r="C176" s="109">
        <v>99676</v>
      </c>
    </row>
    <row r="177" spans="1:3" x14ac:dyDescent="0.35">
      <c r="A177" s="106" t="s">
        <v>251</v>
      </c>
      <c r="B177" s="109">
        <v>70886</v>
      </c>
      <c r="C177" s="109">
        <v>87597</v>
      </c>
    </row>
    <row r="178" spans="1:3" x14ac:dyDescent="0.35">
      <c r="A178" s="106" t="s">
        <v>252</v>
      </c>
      <c r="B178" s="109">
        <v>149516</v>
      </c>
      <c r="C178" s="109">
        <v>160999</v>
      </c>
    </row>
    <row r="179" spans="1:3" x14ac:dyDescent="0.35">
      <c r="A179" s="106" t="s">
        <v>253</v>
      </c>
      <c r="B179" s="109">
        <v>155278</v>
      </c>
      <c r="C179" s="109">
        <v>173078</v>
      </c>
    </row>
    <row r="180" spans="1:3" x14ac:dyDescent="0.35">
      <c r="A180" s="106" t="s">
        <v>254</v>
      </c>
      <c r="B180" s="109">
        <v>160819</v>
      </c>
      <c r="C180" s="109">
        <v>179854</v>
      </c>
    </row>
    <row r="181" spans="1:3" x14ac:dyDescent="0.35">
      <c r="A181" s="106" t="s">
        <v>255</v>
      </c>
      <c r="B181" s="109">
        <v>124468</v>
      </c>
      <c r="C181" s="109">
        <v>123829</v>
      </c>
    </row>
    <row r="182" spans="1:3" x14ac:dyDescent="0.35">
      <c r="A182" s="106" t="s">
        <v>256</v>
      </c>
      <c r="B182" s="109">
        <v>11658</v>
      </c>
      <c r="C182" s="109">
        <v>32113</v>
      </c>
    </row>
    <row r="183" spans="1:3" x14ac:dyDescent="0.35">
      <c r="A183" s="106" t="s">
        <v>257</v>
      </c>
      <c r="B183" s="117">
        <v>-10404</v>
      </c>
      <c r="C183" s="113">
        <v>-5303</v>
      </c>
    </row>
    <row r="184" spans="1:3" x14ac:dyDescent="0.35">
      <c r="A184" s="106" t="s">
        <v>434</v>
      </c>
      <c r="B184" s="107">
        <v>4565</v>
      </c>
      <c r="C184" s="109">
        <v>28802</v>
      </c>
    </row>
    <row r="185" spans="1:3" x14ac:dyDescent="0.35">
      <c r="A185" s="106" t="s">
        <v>258</v>
      </c>
      <c r="B185" s="109">
        <v>99270</v>
      </c>
      <c r="C185" s="109">
        <v>114281</v>
      </c>
    </row>
    <row r="186" spans="1:3" x14ac:dyDescent="0.35">
      <c r="A186" s="104" t="s">
        <v>259</v>
      </c>
      <c r="B186" s="105"/>
      <c r="C186" s="105"/>
    </row>
    <row r="187" spans="1:3" x14ac:dyDescent="0.35">
      <c r="A187" s="106" t="s">
        <v>260</v>
      </c>
      <c r="B187" s="109">
        <v>92000</v>
      </c>
      <c r="C187" s="109">
        <v>87000</v>
      </c>
    </row>
    <row r="188" spans="1:3" x14ac:dyDescent="0.35">
      <c r="A188" s="104" t="s">
        <v>261</v>
      </c>
      <c r="B188" s="105"/>
      <c r="C188" s="105"/>
    </row>
    <row r="189" spans="1:3" x14ac:dyDescent="0.35">
      <c r="A189" s="106" t="s">
        <v>262</v>
      </c>
      <c r="B189" s="107">
        <v>452</v>
      </c>
      <c r="C189" s="107">
        <v>422</v>
      </c>
    </row>
    <row r="190" spans="1:3" x14ac:dyDescent="0.35">
      <c r="A190" s="108" t="s">
        <v>263</v>
      </c>
      <c r="B190" s="107">
        <v>112</v>
      </c>
      <c r="C190" s="110">
        <v>94</v>
      </c>
    </row>
    <row r="191" spans="1:3" x14ac:dyDescent="0.35">
      <c r="A191" s="108" t="s">
        <v>264</v>
      </c>
      <c r="B191" s="110">
        <v>74</v>
      </c>
      <c r="C191" s="110">
        <v>74</v>
      </c>
    </row>
    <row r="192" spans="1:3" x14ac:dyDescent="0.35">
      <c r="A192" s="108" t="s">
        <v>265</v>
      </c>
      <c r="B192" s="110">
        <v>59</v>
      </c>
      <c r="C192" s="110">
        <v>63</v>
      </c>
    </row>
    <row r="193" spans="1:3" x14ac:dyDescent="0.35">
      <c r="A193" s="108" t="s">
        <v>266</v>
      </c>
      <c r="B193" s="110">
        <v>46</v>
      </c>
      <c r="C193" s="110">
        <v>46</v>
      </c>
    </row>
    <row r="194" spans="1:3" x14ac:dyDescent="0.35">
      <c r="A194" s="108" t="s">
        <v>267</v>
      </c>
      <c r="B194" s="110">
        <v>42</v>
      </c>
      <c r="C194" s="110">
        <v>45</v>
      </c>
    </row>
    <row r="195" spans="1:3" x14ac:dyDescent="0.35">
      <c r="A195" s="108" t="s">
        <v>268</v>
      </c>
      <c r="B195" s="107">
        <v>119</v>
      </c>
      <c r="C195" s="107">
        <v>100</v>
      </c>
    </row>
    <row r="196" spans="1:3" x14ac:dyDescent="0.35">
      <c r="A196" s="106" t="s">
        <v>270</v>
      </c>
      <c r="B196" s="107">
        <v>133</v>
      </c>
      <c r="C196" s="107">
        <v>137</v>
      </c>
    </row>
    <row r="197" spans="1:3" x14ac:dyDescent="0.35">
      <c r="A197" s="106" t="s">
        <v>271</v>
      </c>
      <c r="B197" s="110">
        <v>88</v>
      </c>
      <c r="C197" s="110">
        <v>91</v>
      </c>
    </row>
    <row r="198" spans="1:3" x14ac:dyDescent="0.35">
      <c r="A198" s="106" t="s">
        <v>272</v>
      </c>
      <c r="B198" s="107">
        <v>119</v>
      </c>
      <c r="C198" s="107">
        <v>100</v>
      </c>
    </row>
    <row r="199" spans="1:3" x14ac:dyDescent="0.35">
      <c r="A199" s="104" t="s">
        <v>273</v>
      </c>
      <c r="B199" s="105"/>
      <c r="C199" s="105"/>
    </row>
    <row r="200" spans="1:3" x14ac:dyDescent="0.35">
      <c r="A200" s="106" t="s">
        <v>274</v>
      </c>
      <c r="B200" s="109">
        <v>108900</v>
      </c>
      <c r="C200" s="109">
        <v>85100</v>
      </c>
    </row>
    <row r="201" spans="1:3" x14ac:dyDescent="0.35">
      <c r="A201" s="106" t="s">
        <v>275</v>
      </c>
      <c r="B201" s="109">
        <v>108900</v>
      </c>
      <c r="C201" s="109">
        <v>85100</v>
      </c>
    </row>
    <row r="202" spans="1:3" x14ac:dyDescent="0.35">
      <c r="A202"/>
      <c r="B202"/>
      <c r="C202"/>
    </row>
    <row r="203" spans="1:3" x14ac:dyDescent="0.35">
      <c r="A203"/>
      <c r="B203"/>
      <c r="C203"/>
    </row>
    <row r="204" spans="1:3" x14ac:dyDescent="0.35">
      <c r="A204"/>
      <c r="B204"/>
      <c r="C204"/>
    </row>
    <row r="205" spans="1:3" x14ac:dyDescent="0.35">
      <c r="A205"/>
      <c r="B205"/>
      <c r="C205"/>
    </row>
    <row r="206" spans="1:3" x14ac:dyDescent="0.35">
      <c r="A206" s="98" t="s">
        <v>110</v>
      </c>
      <c r="B206" s="99" t="s">
        <v>111</v>
      </c>
      <c r="C206" s="99" t="s">
        <v>112</v>
      </c>
    </row>
    <row r="207" spans="1:3" x14ac:dyDescent="0.35">
      <c r="A207" s="100" t="s">
        <v>113</v>
      </c>
      <c r="B207" s="101">
        <v>45654</v>
      </c>
      <c r="C207" s="101">
        <v>46018</v>
      </c>
    </row>
    <row r="208" spans="1:3" x14ac:dyDescent="0.35">
      <c r="A208" s="100" t="s">
        <v>114</v>
      </c>
      <c r="B208" s="101" t="s">
        <v>115</v>
      </c>
      <c r="C208" s="101" t="s">
        <v>115</v>
      </c>
    </row>
    <row r="209" spans="1:3" x14ac:dyDescent="0.35">
      <c r="A209" s="102" t="s">
        <v>276</v>
      </c>
      <c r="B209" s="98"/>
      <c r="C209" s="98"/>
    </row>
    <row r="210" spans="1:3" x14ac:dyDescent="0.35">
      <c r="A210" s="102" t="s">
        <v>117</v>
      </c>
      <c r="B210" s="103" t="s">
        <v>571</v>
      </c>
      <c r="C210" s="103" t="s">
        <v>572</v>
      </c>
    </row>
    <row r="211" spans="1:3" x14ac:dyDescent="0.35">
      <c r="A211" s="104" t="s">
        <v>277</v>
      </c>
      <c r="B211" s="105"/>
      <c r="C211" s="105"/>
    </row>
    <row r="212" spans="1:3" x14ac:dyDescent="0.35">
      <c r="A212" s="106" t="s">
        <v>278</v>
      </c>
      <c r="B212" s="109">
        <v>53101</v>
      </c>
      <c r="C212" s="109">
        <v>52853</v>
      </c>
    </row>
    <row r="213" spans="1:3" x14ac:dyDescent="0.35">
      <c r="A213" s="108" t="s">
        <v>279</v>
      </c>
      <c r="B213" s="109">
        <v>53101</v>
      </c>
      <c r="C213" s="109">
        <v>52853</v>
      </c>
    </row>
    <row r="214" spans="1:3" x14ac:dyDescent="0.35">
      <c r="A214" s="111" t="s">
        <v>64</v>
      </c>
      <c r="B214" s="112">
        <v>53101</v>
      </c>
      <c r="C214" s="112">
        <v>52853</v>
      </c>
    </row>
    <row r="215" spans="1:3" x14ac:dyDescent="0.35">
      <c r="A215" s="104" t="s">
        <v>280</v>
      </c>
      <c r="B215" s="105"/>
      <c r="C215" s="105"/>
    </row>
    <row r="216" spans="1:3" x14ac:dyDescent="0.35">
      <c r="A216" s="106" t="s">
        <v>281</v>
      </c>
      <c r="B216" s="109">
        <v>35756</v>
      </c>
      <c r="C216" s="109">
        <v>34478</v>
      </c>
    </row>
    <row r="217" spans="1:3" x14ac:dyDescent="0.35">
      <c r="A217" s="108" t="s">
        <v>282</v>
      </c>
      <c r="B217" s="109">
        <v>35756</v>
      </c>
      <c r="C217" s="109">
        <v>34478</v>
      </c>
    </row>
    <row r="218" spans="1:3" x14ac:dyDescent="0.35">
      <c r="A218" s="108" t="s">
        <v>283</v>
      </c>
      <c r="B218" s="109">
        <v>34517</v>
      </c>
      <c r="C218" s="109"/>
    </row>
    <row r="219" spans="1:3" x14ac:dyDescent="0.35">
      <c r="A219" s="108" t="s">
        <v>494</v>
      </c>
      <c r="B219" s="107">
        <v>1239</v>
      </c>
      <c r="C219" s="109"/>
    </row>
    <row r="220" spans="1:3" x14ac:dyDescent="0.35">
      <c r="A220" s="111" t="s">
        <v>68</v>
      </c>
      <c r="B220" s="112">
        <v>17345</v>
      </c>
      <c r="C220" s="112">
        <v>18375</v>
      </c>
    </row>
    <row r="221" spans="1:3" x14ac:dyDescent="0.35">
      <c r="A221" s="106" t="s">
        <v>286</v>
      </c>
      <c r="B221" s="109">
        <v>22053</v>
      </c>
      <c r="C221" s="109">
        <v>18398</v>
      </c>
    </row>
    <row r="222" spans="1:3" x14ac:dyDescent="0.35">
      <c r="A222" s="108" t="s">
        <v>287</v>
      </c>
      <c r="B222" s="107">
        <v>4486</v>
      </c>
      <c r="C222" s="107">
        <v>4014</v>
      </c>
    </row>
    <row r="223" spans="1:3" x14ac:dyDescent="0.35">
      <c r="A223" s="108" t="s">
        <v>529</v>
      </c>
      <c r="B223" s="109">
        <v>16546</v>
      </c>
      <c r="C223" s="109">
        <v>13774</v>
      </c>
    </row>
    <row r="224" spans="1:3" x14ac:dyDescent="0.35">
      <c r="A224" s="108" t="s">
        <v>576</v>
      </c>
      <c r="B224" s="107">
        <v>165</v>
      </c>
      <c r="C224" s="109"/>
    </row>
    <row r="225" spans="1:3" x14ac:dyDescent="0.35">
      <c r="A225" s="108" t="s">
        <v>289</v>
      </c>
      <c r="B225" s="107">
        <v>856</v>
      </c>
      <c r="C225" s="107">
        <v>610</v>
      </c>
    </row>
    <row r="226" spans="1:3" x14ac:dyDescent="0.35">
      <c r="A226" s="108" t="s">
        <v>577</v>
      </c>
      <c r="B226" s="107">
        <v>856</v>
      </c>
      <c r="C226" s="107">
        <v>610</v>
      </c>
    </row>
    <row r="227" spans="1:3" x14ac:dyDescent="0.35">
      <c r="A227" s="106" t="s">
        <v>76</v>
      </c>
      <c r="B227" s="109">
        <v>57809</v>
      </c>
      <c r="C227" s="109">
        <v>52876</v>
      </c>
    </row>
    <row r="228" spans="1:3" x14ac:dyDescent="0.35">
      <c r="A228" s="104" t="s">
        <v>292</v>
      </c>
      <c r="B228" s="105"/>
      <c r="C228" s="105"/>
    </row>
    <row r="229" spans="1:3" x14ac:dyDescent="0.35">
      <c r="A229" s="111" t="s">
        <v>293</v>
      </c>
      <c r="B229" s="118">
        <v>-4708</v>
      </c>
      <c r="C229" s="119">
        <v>-23</v>
      </c>
    </row>
    <row r="230" spans="1:3" x14ac:dyDescent="0.35">
      <c r="A230" s="104" t="s">
        <v>294</v>
      </c>
      <c r="B230" s="105"/>
      <c r="C230" s="105"/>
    </row>
    <row r="231" spans="1:3" x14ac:dyDescent="0.35">
      <c r="A231" s="106" t="s">
        <v>295</v>
      </c>
      <c r="B231" s="107">
        <v>211</v>
      </c>
      <c r="C231" s="114">
        <v>-84</v>
      </c>
    </row>
    <row r="232" spans="1:3" x14ac:dyDescent="0.35">
      <c r="A232" s="108" t="s">
        <v>81</v>
      </c>
      <c r="B232" s="113">
        <v>-211</v>
      </c>
      <c r="C232" s="110">
        <v>84</v>
      </c>
    </row>
    <row r="233" spans="1:3" x14ac:dyDescent="0.35">
      <c r="A233" s="108" t="s">
        <v>296</v>
      </c>
      <c r="B233" s="107">
        <v>1245</v>
      </c>
      <c r="C233" s="107">
        <v>1007</v>
      </c>
    </row>
    <row r="234" spans="1:3" x14ac:dyDescent="0.35">
      <c r="A234" s="108" t="s">
        <v>297</v>
      </c>
      <c r="B234" s="107">
        <v>1034</v>
      </c>
      <c r="C234" s="107">
        <v>1091</v>
      </c>
    </row>
    <row r="235" spans="1:3" x14ac:dyDescent="0.35">
      <c r="A235" s="108" t="s">
        <v>298</v>
      </c>
      <c r="B235" s="107">
        <v>2534</v>
      </c>
      <c r="C235" s="107">
        <v>2291</v>
      </c>
    </row>
    <row r="236" spans="1:3" x14ac:dyDescent="0.35">
      <c r="A236" s="108" t="s">
        <v>299</v>
      </c>
      <c r="B236" s="107">
        <v>1500</v>
      </c>
      <c r="C236" s="107">
        <v>1200</v>
      </c>
    </row>
    <row r="237" spans="1:3" x14ac:dyDescent="0.35">
      <c r="A237" s="106" t="s">
        <v>303</v>
      </c>
      <c r="B237" s="107">
        <v>242</v>
      </c>
      <c r="C237" s="107">
        <v>514</v>
      </c>
    </row>
    <row r="238" spans="1:3" x14ac:dyDescent="0.35">
      <c r="A238" s="108" t="s">
        <v>578</v>
      </c>
      <c r="B238" s="107">
        <v>368</v>
      </c>
      <c r="C238" s="107">
        <v>335</v>
      </c>
    </row>
    <row r="239" spans="1:3" x14ac:dyDescent="0.35">
      <c r="A239" s="106" t="s">
        <v>438</v>
      </c>
      <c r="B239" s="110">
        <v>15</v>
      </c>
      <c r="C239" s="113">
        <v>-187</v>
      </c>
    </row>
    <row r="240" spans="1:3" x14ac:dyDescent="0.35">
      <c r="A240" s="106" t="s">
        <v>304</v>
      </c>
      <c r="B240" s="113">
        <v>-4240</v>
      </c>
      <c r="C240" s="107">
        <v>220</v>
      </c>
    </row>
    <row r="241" spans="1:3" x14ac:dyDescent="0.35">
      <c r="A241" s="104" t="s">
        <v>305</v>
      </c>
      <c r="B241" s="105"/>
      <c r="C241" s="105"/>
    </row>
    <row r="242" spans="1:3" x14ac:dyDescent="0.35">
      <c r="A242" s="106" t="s">
        <v>306</v>
      </c>
      <c r="B242" s="113">
        <v>-6970</v>
      </c>
      <c r="C242" s="107">
        <v>1337</v>
      </c>
    </row>
    <row r="243" spans="1:3" x14ac:dyDescent="0.35">
      <c r="A243" s="108" t="s">
        <v>307</v>
      </c>
      <c r="B243" s="107">
        <v>3631</v>
      </c>
      <c r="C243" s="107">
        <v>522</v>
      </c>
    </row>
    <row r="244" spans="1:3" x14ac:dyDescent="0.35">
      <c r="A244" s="108" t="s">
        <v>308</v>
      </c>
      <c r="B244" s="107">
        <v>3631</v>
      </c>
      <c r="C244" s="107">
        <v>522</v>
      </c>
    </row>
    <row r="245" spans="1:3" x14ac:dyDescent="0.35">
      <c r="A245" s="108" t="s">
        <v>310</v>
      </c>
      <c r="B245" s="107">
        <v>2481</v>
      </c>
      <c r="C245" s="107">
        <v>1790</v>
      </c>
    </row>
    <row r="246" spans="1:3" x14ac:dyDescent="0.35">
      <c r="A246" s="108" t="s">
        <v>569</v>
      </c>
      <c r="B246" s="107">
        <v>858</v>
      </c>
      <c r="C246" s="113">
        <v>-121</v>
      </c>
    </row>
    <row r="247" spans="1:3" x14ac:dyDescent="0.35">
      <c r="A247" s="108" t="s">
        <v>530</v>
      </c>
      <c r="B247" s="109"/>
      <c r="C247" s="113">
        <v>-1796</v>
      </c>
    </row>
    <row r="248" spans="1:3" x14ac:dyDescent="0.35">
      <c r="A248" s="108" t="s">
        <v>312</v>
      </c>
      <c r="B248" s="109"/>
      <c r="C248" s="107">
        <v>5324</v>
      </c>
    </row>
    <row r="249" spans="1:3" x14ac:dyDescent="0.35">
      <c r="A249" s="104" t="s">
        <v>313</v>
      </c>
      <c r="B249" s="105"/>
      <c r="C249" s="105"/>
    </row>
    <row r="250" spans="1:3" x14ac:dyDescent="0.35">
      <c r="A250" s="111" t="s">
        <v>83</v>
      </c>
      <c r="B250" s="120">
        <v>-11210</v>
      </c>
      <c r="C250" s="116">
        <v>1557</v>
      </c>
    </row>
    <row r="251" spans="1:3" x14ac:dyDescent="0.35">
      <c r="A251" s="104" t="s">
        <v>314</v>
      </c>
      <c r="B251" s="105"/>
      <c r="C251" s="105"/>
    </row>
    <row r="252" spans="1:3" x14ac:dyDescent="0.35">
      <c r="A252" s="106" t="s">
        <v>84</v>
      </c>
      <c r="B252" s="107">
        <v>8023</v>
      </c>
      <c r="C252" s="107">
        <v>1531</v>
      </c>
    </row>
    <row r="253" spans="1:3" x14ac:dyDescent="0.35">
      <c r="A253" s="108" t="s">
        <v>315</v>
      </c>
      <c r="B253" s="107">
        <v>1956</v>
      </c>
      <c r="C253" s="107">
        <v>1202</v>
      </c>
    </row>
    <row r="254" spans="1:3" x14ac:dyDescent="0.35">
      <c r="A254" s="108" t="s">
        <v>316</v>
      </c>
      <c r="B254" s="107">
        <v>592</v>
      </c>
      <c r="C254" s="107">
        <v>292</v>
      </c>
    </row>
    <row r="255" spans="1:3" x14ac:dyDescent="0.35">
      <c r="A255" s="108" t="s">
        <v>317</v>
      </c>
      <c r="B255" s="107">
        <v>1364</v>
      </c>
      <c r="C255" s="107">
        <v>910</v>
      </c>
    </row>
    <row r="256" spans="1:3" x14ac:dyDescent="0.35">
      <c r="A256" s="108" t="s">
        <v>318</v>
      </c>
      <c r="B256" s="107">
        <v>6067</v>
      </c>
      <c r="C256" s="107">
        <v>329</v>
      </c>
    </row>
    <row r="257" spans="1:3" x14ac:dyDescent="0.35">
      <c r="A257" s="108" t="s">
        <v>319</v>
      </c>
      <c r="B257" s="107">
        <v>6259</v>
      </c>
      <c r="C257" s="107">
        <v>234</v>
      </c>
    </row>
    <row r="258" spans="1:3" x14ac:dyDescent="0.35">
      <c r="A258" s="108" t="s">
        <v>320</v>
      </c>
      <c r="B258" s="113">
        <v>-192</v>
      </c>
      <c r="C258" s="110">
        <v>95</v>
      </c>
    </row>
    <row r="259" spans="1:3" x14ac:dyDescent="0.35">
      <c r="A259" s="104" t="s">
        <v>321</v>
      </c>
      <c r="B259" s="105"/>
      <c r="C259" s="105"/>
    </row>
    <row r="260" spans="1:3" x14ac:dyDescent="0.35">
      <c r="A260" s="106" t="s">
        <v>322</v>
      </c>
      <c r="B260" s="117">
        <v>-19233</v>
      </c>
      <c r="C260" s="110">
        <v>26</v>
      </c>
    </row>
    <row r="261" spans="1:3" x14ac:dyDescent="0.35">
      <c r="A261" s="104" t="s">
        <v>323</v>
      </c>
      <c r="B261" s="105"/>
      <c r="C261" s="105"/>
    </row>
    <row r="262" spans="1:3" x14ac:dyDescent="0.35">
      <c r="A262" s="111" t="s">
        <v>324</v>
      </c>
      <c r="B262" s="120">
        <v>-19233</v>
      </c>
      <c r="C262" s="121">
        <v>26</v>
      </c>
    </row>
    <row r="263" spans="1:3" x14ac:dyDescent="0.35">
      <c r="A263" s="106" t="s">
        <v>327</v>
      </c>
      <c r="B263" s="117">
        <v>-19233</v>
      </c>
      <c r="C263" s="110">
        <v>26</v>
      </c>
    </row>
    <row r="264" spans="1:3" x14ac:dyDescent="0.35">
      <c r="A264" s="106" t="s">
        <v>442</v>
      </c>
      <c r="B264" s="113">
        <v>-477</v>
      </c>
      <c r="C264" s="107">
        <v>293</v>
      </c>
    </row>
    <row r="265" spans="1:3" x14ac:dyDescent="0.35">
      <c r="A265" s="106" t="s">
        <v>85</v>
      </c>
      <c r="B265" s="117">
        <v>-18756</v>
      </c>
      <c r="C265" s="113">
        <v>-267</v>
      </c>
    </row>
    <row r="266" spans="1:3" x14ac:dyDescent="0.35">
      <c r="A266" s="104" t="s">
        <v>328</v>
      </c>
      <c r="B266" s="105"/>
      <c r="C266" s="105"/>
    </row>
    <row r="267" spans="1:3" x14ac:dyDescent="0.35">
      <c r="A267" s="111" t="s">
        <v>330</v>
      </c>
      <c r="B267" s="120">
        <v>-18756</v>
      </c>
      <c r="C267" s="118">
        <v>-267</v>
      </c>
    </row>
    <row r="268" spans="1:3" x14ac:dyDescent="0.35">
      <c r="A268" s="104" t="s">
        <v>331</v>
      </c>
      <c r="B268" s="105"/>
      <c r="C268" s="105"/>
    </row>
    <row r="269" spans="1:3" x14ac:dyDescent="0.35">
      <c r="A269" s="106" t="s">
        <v>332</v>
      </c>
      <c r="B269" s="117">
        <v>-19233</v>
      </c>
      <c r="C269" s="110">
        <v>26</v>
      </c>
    </row>
    <row r="270" spans="1:3" x14ac:dyDescent="0.35">
      <c r="A270" s="106" t="s">
        <v>333</v>
      </c>
      <c r="B270" s="114">
        <v>-1</v>
      </c>
      <c r="C270" s="110">
        <v>3</v>
      </c>
    </row>
    <row r="271" spans="1:3" x14ac:dyDescent="0.35">
      <c r="A271" s="106" t="s">
        <v>335</v>
      </c>
      <c r="B271" s="113">
        <v>-555</v>
      </c>
      <c r="C271" s="107">
        <v>743</v>
      </c>
    </row>
    <row r="272" spans="1:3" x14ac:dyDescent="0.35">
      <c r="A272" s="106" t="s">
        <v>336</v>
      </c>
      <c r="B272" s="110">
        <v>60</v>
      </c>
      <c r="C272" s="110">
        <v>78</v>
      </c>
    </row>
    <row r="273" spans="1:3" x14ac:dyDescent="0.35">
      <c r="A273" s="106" t="s">
        <v>338</v>
      </c>
      <c r="B273" s="113">
        <v>-496</v>
      </c>
      <c r="C273" s="107">
        <v>824</v>
      </c>
    </row>
    <row r="274" spans="1:3" x14ac:dyDescent="0.35">
      <c r="A274" s="111" t="s">
        <v>339</v>
      </c>
      <c r="B274" s="120">
        <v>-19729</v>
      </c>
      <c r="C274" s="116">
        <v>850</v>
      </c>
    </row>
    <row r="275" spans="1:3" x14ac:dyDescent="0.35">
      <c r="A275" s="106" t="s">
        <v>443</v>
      </c>
      <c r="B275" s="113">
        <v>-477</v>
      </c>
      <c r="C275" s="107">
        <v>293</v>
      </c>
    </row>
    <row r="276" spans="1:3" x14ac:dyDescent="0.35">
      <c r="A276" s="106" t="s">
        <v>340</v>
      </c>
      <c r="B276" s="117">
        <v>-19252</v>
      </c>
      <c r="C276" s="113">
        <v>-557</v>
      </c>
    </row>
    <row r="277" spans="1:3" x14ac:dyDescent="0.35">
      <c r="A277" s="104" t="s">
        <v>341</v>
      </c>
      <c r="B277" s="105"/>
      <c r="C277" s="105"/>
    </row>
    <row r="278" spans="1:3" x14ac:dyDescent="0.35">
      <c r="A278" s="106" t="s">
        <v>342</v>
      </c>
      <c r="B278" s="117">
        <v>-18756</v>
      </c>
      <c r="C278" s="113">
        <v>-267</v>
      </c>
    </row>
    <row r="279" spans="1:3" x14ac:dyDescent="0.35">
      <c r="A279" s="108" t="s">
        <v>343</v>
      </c>
      <c r="B279" s="117">
        <v>-18756</v>
      </c>
      <c r="C279" s="113">
        <v>-267</v>
      </c>
    </row>
    <row r="280" spans="1:3" x14ac:dyDescent="0.35">
      <c r="A280" s="108" t="s">
        <v>344</v>
      </c>
      <c r="B280" s="107">
        <v>4280</v>
      </c>
      <c r="C280" s="107">
        <v>4530</v>
      </c>
    </row>
    <row r="281" spans="1:3" x14ac:dyDescent="0.35">
      <c r="A281" s="108" t="s">
        <v>345</v>
      </c>
      <c r="B281" s="114">
        <v>-4.38</v>
      </c>
      <c r="C281" s="114">
        <v>-0.06</v>
      </c>
    </row>
    <row r="282" spans="1:3" x14ac:dyDescent="0.35">
      <c r="A282" s="108" t="s">
        <v>346</v>
      </c>
      <c r="B282" s="114">
        <v>-4.38</v>
      </c>
      <c r="C282" s="114">
        <v>-0.06</v>
      </c>
    </row>
    <row r="283" spans="1:3" x14ac:dyDescent="0.35">
      <c r="A283" s="108" t="s">
        <v>347</v>
      </c>
      <c r="B283" s="114">
        <v>-2.75</v>
      </c>
      <c r="C283" s="114">
        <v>-0.35</v>
      </c>
    </row>
    <row r="284" spans="1:3" x14ac:dyDescent="0.35">
      <c r="A284" s="106" t="s">
        <v>348</v>
      </c>
      <c r="B284" s="117">
        <v>-18756</v>
      </c>
      <c r="C284" s="113">
        <v>-267</v>
      </c>
    </row>
    <row r="285" spans="1:3" x14ac:dyDescent="0.35">
      <c r="A285" s="106" t="s">
        <v>349</v>
      </c>
      <c r="B285" s="110">
        <v>1</v>
      </c>
      <c r="C285" s="110">
        <v>1</v>
      </c>
    </row>
    <row r="286" spans="1:3" x14ac:dyDescent="0.35">
      <c r="A286" s="108" t="s">
        <v>350</v>
      </c>
      <c r="B286" s="107">
        <v>4280</v>
      </c>
      <c r="C286" s="107">
        <v>4530</v>
      </c>
    </row>
    <row r="287" spans="1:3" x14ac:dyDescent="0.35">
      <c r="A287" s="108" t="s">
        <v>351</v>
      </c>
      <c r="B287" s="114">
        <v>-4.38</v>
      </c>
      <c r="C287" s="114">
        <v>-0.06</v>
      </c>
    </row>
    <row r="288" spans="1:3" x14ac:dyDescent="0.35">
      <c r="A288" s="108" t="s">
        <v>352</v>
      </c>
      <c r="B288" s="114">
        <v>-4.38</v>
      </c>
      <c r="C288" s="114">
        <v>-0.06</v>
      </c>
    </row>
    <row r="289" spans="1:3" x14ac:dyDescent="0.35">
      <c r="A289" s="108" t="s">
        <v>353</v>
      </c>
      <c r="B289" s="114">
        <v>-2.75</v>
      </c>
      <c r="C289" s="114">
        <v>-0.35</v>
      </c>
    </row>
    <row r="290" spans="1:3" x14ac:dyDescent="0.35">
      <c r="A290" s="106" t="s">
        <v>354</v>
      </c>
      <c r="B290" s="109">
        <v>0</v>
      </c>
      <c r="C290" s="109">
        <v>0</v>
      </c>
    </row>
    <row r="291" spans="1:3" x14ac:dyDescent="0.35">
      <c r="A291" s="106" t="s">
        <v>355</v>
      </c>
      <c r="B291" s="114">
        <v>-4.5</v>
      </c>
      <c r="C291" s="114">
        <v>-0.12</v>
      </c>
    </row>
    <row r="292" spans="1:3" x14ac:dyDescent="0.35">
      <c r="A292" s="104" t="s">
        <v>356</v>
      </c>
      <c r="B292" s="105"/>
      <c r="C292" s="105"/>
    </row>
    <row r="293" spans="1:3" x14ac:dyDescent="0.35">
      <c r="A293" s="106" t="s">
        <v>357</v>
      </c>
      <c r="B293" s="117">
        <v>-18756</v>
      </c>
      <c r="C293" s="113">
        <v>-267</v>
      </c>
    </row>
    <row r="294" spans="1:3" x14ac:dyDescent="0.35">
      <c r="A294" s="108" t="s">
        <v>358</v>
      </c>
      <c r="B294" s="117">
        <v>-18756</v>
      </c>
      <c r="C294" s="113">
        <v>-267</v>
      </c>
    </row>
    <row r="295" spans="1:3" x14ac:dyDescent="0.35">
      <c r="A295" s="108" t="s">
        <v>359</v>
      </c>
      <c r="B295" s="107">
        <v>4280</v>
      </c>
      <c r="C295" s="107">
        <v>4530</v>
      </c>
    </row>
    <row r="296" spans="1:3" x14ac:dyDescent="0.35">
      <c r="A296" s="108" t="s">
        <v>360</v>
      </c>
      <c r="B296" s="114">
        <v>-4.38</v>
      </c>
      <c r="C296" s="114">
        <v>-0.06</v>
      </c>
    </row>
    <row r="297" spans="1:3" x14ac:dyDescent="0.35">
      <c r="A297" s="108" t="s">
        <v>361</v>
      </c>
      <c r="B297" s="114">
        <v>-4.38</v>
      </c>
      <c r="C297" s="114">
        <v>-0.06</v>
      </c>
    </row>
    <row r="298" spans="1:3" x14ac:dyDescent="0.35">
      <c r="A298" s="108" t="s">
        <v>362</v>
      </c>
      <c r="B298" s="114">
        <v>-2.75</v>
      </c>
      <c r="C298" s="114">
        <v>-0.35</v>
      </c>
    </row>
    <row r="299" spans="1:3" x14ac:dyDescent="0.35">
      <c r="A299" s="106" t="s">
        <v>363</v>
      </c>
      <c r="B299" s="117">
        <v>-18756</v>
      </c>
      <c r="C299" s="113">
        <v>-267</v>
      </c>
    </row>
    <row r="300" spans="1:3" x14ac:dyDescent="0.35">
      <c r="A300" s="106" t="s">
        <v>364</v>
      </c>
      <c r="B300" s="110">
        <v>1</v>
      </c>
      <c r="C300" s="110">
        <v>1</v>
      </c>
    </row>
    <row r="301" spans="1:3" x14ac:dyDescent="0.35">
      <c r="A301" s="108" t="s">
        <v>365</v>
      </c>
      <c r="B301" s="107">
        <v>4280</v>
      </c>
      <c r="C301" s="107">
        <v>4530</v>
      </c>
    </row>
    <row r="302" spans="1:3" x14ac:dyDescent="0.35">
      <c r="A302" s="108" t="s">
        <v>366</v>
      </c>
      <c r="B302" s="114">
        <v>-4.38</v>
      </c>
      <c r="C302" s="114">
        <v>-0.06</v>
      </c>
    </row>
    <row r="303" spans="1:3" x14ac:dyDescent="0.35">
      <c r="A303" s="108" t="s">
        <v>367</v>
      </c>
      <c r="B303" s="114">
        <v>-4.38</v>
      </c>
      <c r="C303" s="114">
        <v>-0.06</v>
      </c>
    </row>
    <row r="304" spans="1:3" x14ac:dyDescent="0.35">
      <c r="A304" s="108" t="s">
        <v>368</v>
      </c>
      <c r="B304" s="114">
        <v>-2.75</v>
      </c>
      <c r="C304" s="114">
        <v>-0.35</v>
      </c>
    </row>
    <row r="305" spans="1:3" x14ac:dyDescent="0.35">
      <c r="A305" s="106" t="s">
        <v>369</v>
      </c>
      <c r="B305" s="109">
        <v>0</v>
      </c>
      <c r="C305" s="109">
        <v>0</v>
      </c>
    </row>
    <row r="306" spans="1:3" x14ac:dyDescent="0.35">
      <c r="A306" s="106" t="s">
        <v>370</v>
      </c>
      <c r="B306" s="114">
        <v>-4.5</v>
      </c>
      <c r="C306" s="114">
        <v>-0.12</v>
      </c>
    </row>
    <row r="307" spans="1:3" x14ac:dyDescent="0.35">
      <c r="A307" s="104" t="s">
        <v>371</v>
      </c>
      <c r="B307" s="105"/>
      <c r="C307" s="105"/>
    </row>
    <row r="308" spans="1:3" x14ac:dyDescent="0.35">
      <c r="A308" s="106" t="s">
        <v>372</v>
      </c>
      <c r="B308" s="110">
        <v>0.38</v>
      </c>
      <c r="C308" s="109">
        <v>0</v>
      </c>
    </row>
    <row r="309" spans="1:3" x14ac:dyDescent="0.35">
      <c r="A309" s="106" t="s">
        <v>373</v>
      </c>
      <c r="B309" s="110">
        <v>0.38</v>
      </c>
      <c r="C309" s="109">
        <v>0</v>
      </c>
    </row>
    <row r="310" spans="1:3" x14ac:dyDescent="0.35">
      <c r="A310" s="104" t="s">
        <v>374</v>
      </c>
      <c r="B310" s="105"/>
      <c r="C310" s="105"/>
    </row>
    <row r="311" spans="1:3" x14ac:dyDescent="0.35">
      <c r="A311" s="106" t="s">
        <v>78</v>
      </c>
      <c r="B311" s="113">
        <v>-4708</v>
      </c>
      <c r="C311" s="114">
        <v>-23</v>
      </c>
    </row>
    <row r="312" spans="1:3" x14ac:dyDescent="0.35">
      <c r="A312" s="106" t="s">
        <v>80</v>
      </c>
      <c r="B312" s="107">
        <v>6671</v>
      </c>
      <c r="C312" s="109">
        <v>11683</v>
      </c>
    </row>
    <row r="313" spans="1:3" x14ac:dyDescent="0.35">
      <c r="A313" s="106" t="s">
        <v>376</v>
      </c>
      <c r="B313" s="107">
        <v>6821</v>
      </c>
      <c r="C313" s="109">
        <v>11795</v>
      </c>
    </row>
    <row r="314" spans="1:3" x14ac:dyDescent="0.35">
      <c r="A314" s="104" t="s">
        <v>377</v>
      </c>
      <c r="B314" s="105"/>
      <c r="C314" s="105"/>
    </row>
    <row r="315" spans="1:3" x14ac:dyDescent="0.35">
      <c r="A315" s="106" t="s">
        <v>378</v>
      </c>
      <c r="B315" s="109"/>
      <c r="C315" s="109"/>
    </row>
    <row r="316" spans="1:3" x14ac:dyDescent="0.35">
      <c r="A316" s="108" t="s">
        <v>477</v>
      </c>
      <c r="B316" s="107">
        <v>1404</v>
      </c>
      <c r="C316" s="107">
        <v>949</v>
      </c>
    </row>
    <row r="317" spans="1:3" x14ac:dyDescent="0.35">
      <c r="A317" s="108" t="s">
        <v>497</v>
      </c>
      <c r="B317" s="107">
        <v>1404</v>
      </c>
      <c r="C317" s="107">
        <v>949</v>
      </c>
    </row>
    <row r="318" spans="1:3" x14ac:dyDescent="0.35">
      <c r="A318" s="108" t="s">
        <v>579</v>
      </c>
      <c r="B318" s="107">
        <v>360</v>
      </c>
      <c r="C318" s="109"/>
    </row>
    <row r="319" spans="1:3" x14ac:dyDescent="0.35">
      <c r="A319" s="108" t="s">
        <v>580</v>
      </c>
      <c r="B319" s="107">
        <v>165</v>
      </c>
      <c r="C319" s="109"/>
    </row>
    <row r="320" spans="1:3" x14ac:dyDescent="0.35">
      <c r="A320" s="108" t="s">
        <v>581</v>
      </c>
      <c r="B320" s="107">
        <v>879</v>
      </c>
      <c r="C320" s="109"/>
    </row>
    <row r="321" spans="1:3" x14ac:dyDescent="0.35">
      <c r="A321" s="104" t="s">
        <v>381</v>
      </c>
      <c r="B321" s="105"/>
      <c r="C321" s="105"/>
    </row>
    <row r="322" spans="1:3" x14ac:dyDescent="0.35">
      <c r="A322" s="106" t="s">
        <v>79</v>
      </c>
      <c r="B322" s="109">
        <v>11379</v>
      </c>
      <c r="C322" s="109">
        <v>11706</v>
      </c>
    </row>
    <row r="323" spans="1:3" x14ac:dyDescent="0.35">
      <c r="A323" s="108" t="s">
        <v>382</v>
      </c>
      <c r="B323" s="107">
        <v>9951</v>
      </c>
      <c r="C323" s="109">
        <v>10757</v>
      </c>
    </row>
    <row r="324" spans="1:3" x14ac:dyDescent="0.35">
      <c r="A324" s="108" t="s">
        <v>498</v>
      </c>
      <c r="B324" s="107">
        <v>1428</v>
      </c>
      <c r="C324" s="107">
        <v>949</v>
      </c>
    </row>
    <row r="325" spans="1:3" x14ac:dyDescent="0.35">
      <c r="A325" s="104" t="s">
        <v>383</v>
      </c>
      <c r="B325" s="105"/>
      <c r="C325" s="105"/>
    </row>
    <row r="326" spans="1:3" x14ac:dyDescent="0.35">
      <c r="A326" s="106" t="s">
        <v>384</v>
      </c>
      <c r="B326" s="109">
        <v>16546</v>
      </c>
      <c r="C326" s="109">
        <v>13774</v>
      </c>
    </row>
    <row r="327" spans="1:3" x14ac:dyDescent="0.35">
      <c r="A327" s="108" t="s">
        <v>72</v>
      </c>
      <c r="B327" s="109">
        <v>16546</v>
      </c>
      <c r="C327" s="109">
        <v>13774</v>
      </c>
    </row>
    <row r="328" spans="1:3" x14ac:dyDescent="0.35">
      <c r="A328" s="104" t="s">
        <v>385</v>
      </c>
      <c r="B328" s="105"/>
      <c r="C328" s="105"/>
    </row>
    <row r="329" spans="1:3" x14ac:dyDescent="0.35">
      <c r="A329" s="106" t="s">
        <v>386</v>
      </c>
      <c r="B329" s="109"/>
      <c r="C329" s="109"/>
    </row>
    <row r="330" spans="1:3" x14ac:dyDescent="0.35">
      <c r="A330" s="108" t="s">
        <v>387</v>
      </c>
      <c r="B330" s="107">
        <v>2693.9</v>
      </c>
      <c r="C330" s="107">
        <v>1922.86</v>
      </c>
    </row>
    <row r="331" spans="1:3" x14ac:dyDescent="0.35">
      <c r="A331" s="108" t="s">
        <v>388</v>
      </c>
      <c r="B331" s="107">
        <v>3410</v>
      </c>
      <c r="C331" s="107">
        <v>2434</v>
      </c>
    </row>
    <row r="332" spans="1:3" x14ac:dyDescent="0.35">
      <c r="A332" s="108" t="s">
        <v>389</v>
      </c>
      <c r="B332" s="107">
        <v>716.1</v>
      </c>
      <c r="C332" s="107">
        <v>511.14</v>
      </c>
    </row>
    <row r="333" spans="1:3" x14ac:dyDescent="0.35">
      <c r="A333" s="104" t="s">
        <v>390</v>
      </c>
      <c r="B333" s="105"/>
      <c r="C333" s="105"/>
    </row>
    <row r="334" spans="1:3" x14ac:dyDescent="0.35">
      <c r="A334" s="106" t="s">
        <v>390</v>
      </c>
      <c r="B334" s="110">
        <v>26.1</v>
      </c>
      <c r="C334" s="110">
        <v>27.5</v>
      </c>
    </row>
    <row r="335" spans="1:3" x14ac:dyDescent="0.35">
      <c r="A335" s="108" t="s">
        <v>391</v>
      </c>
      <c r="B335" s="110">
        <v>25.83</v>
      </c>
      <c r="C335" s="110">
        <v>27.16</v>
      </c>
    </row>
    <row r="336" spans="1:3" x14ac:dyDescent="0.35">
      <c r="A336" s="108" t="s">
        <v>392</v>
      </c>
      <c r="B336" s="110">
        <v>0.25</v>
      </c>
      <c r="C336" s="110">
        <v>0.32</v>
      </c>
    </row>
    <row r="337" spans="1:3" x14ac:dyDescent="0.35">
      <c r="A337" s="108" t="s">
        <v>444</v>
      </c>
      <c r="B337" s="110">
        <v>0.02</v>
      </c>
      <c r="C337" s="110">
        <v>0.02</v>
      </c>
    </row>
    <row r="338" spans="1:3" x14ac:dyDescent="0.35">
      <c r="A338" s="104" t="s">
        <v>393</v>
      </c>
      <c r="B338" s="105"/>
      <c r="C338" s="105"/>
    </row>
    <row r="339" spans="1:3" x14ac:dyDescent="0.35">
      <c r="A339" s="106" t="s">
        <v>394</v>
      </c>
      <c r="B339" s="117">
        <v>-12263</v>
      </c>
      <c r="C339" s="113">
        <v>-1311</v>
      </c>
    </row>
    <row r="340" spans="1:3" x14ac:dyDescent="0.35">
      <c r="A340" s="106" t="s">
        <v>395</v>
      </c>
      <c r="B340" s="117">
        <v>-12263</v>
      </c>
      <c r="C340" s="113">
        <v>-1311</v>
      </c>
    </row>
    <row r="341" spans="1:3" x14ac:dyDescent="0.35">
      <c r="A341" s="106" t="s">
        <v>396</v>
      </c>
      <c r="B341" s="117">
        <v>-11786</v>
      </c>
      <c r="C341" s="113">
        <v>-1604</v>
      </c>
    </row>
    <row r="342" spans="1:3" x14ac:dyDescent="0.35">
      <c r="A342" s="106" t="s">
        <v>397</v>
      </c>
      <c r="B342" s="113">
        <v>-4451</v>
      </c>
      <c r="C342" s="107">
        <v>304</v>
      </c>
    </row>
    <row r="343" spans="1:3" x14ac:dyDescent="0.35">
      <c r="A343" s="106" t="s">
        <v>398</v>
      </c>
      <c r="B343" s="107">
        <v>6928</v>
      </c>
      <c r="C343" s="109">
        <v>12010</v>
      </c>
    </row>
    <row r="344" spans="1:3" x14ac:dyDescent="0.35">
      <c r="A344" s="104" t="s">
        <v>399</v>
      </c>
      <c r="B344" s="105"/>
      <c r="C344" s="105"/>
    </row>
    <row r="345" spans="1:3" x14ac:dyDescent="0.35">
      <c r="A345" s="106" t="s">
        <v>400</v>
      </c>
      <c r="B345" s="109"/>
      <c r="C345" s="109"/>
    </row>
    <row r="346" spans="1:3" x14ac:dyDescent="0.35">
      <c r="A346" s="108" t="s">
        <v>401</v>
      </c>
      <c r="B346" s="107">
        <v>150</v>
      </c>
      <c r="C346" s="107">
        <v>112</v>
      </c>
    </row>
    <row r="347" spans="1:3" x14ac:dyDescent="0.35">
      <c r="A347" s="108" t="s">
        <v>481</v>
      </c>
      <c r="B347" s="110">
        <v>98</v>
      </c>
      <c r="C347" s="107">
        <v>100</v>
      </c>
    </row>
    <row r="348" spans="1:3" x14ac:dyDescent="0.35">
      <c r="A348" s="104" t="s">
        <v>82</v>
      </c>
      <c r="B348" s="105"/>
      <c r="C348" s="105"/>
    </row>
    <row r="349" spans="1:3" x14ac:dyDescent="0.35">
      <c r="A349" s="106" t="s">
        <v>405</v>
      </c>
      <c r="B349" s="107">
        <v>150</v>
      </c>
      <c r="C349" s="107">
        <v>112</v>
      </c>
    </row>
    <row r="350" spans="1:3" x14ac:dyDescent="0.35">
      <c r="A350" s="106" t="s">
        <v>582</v>
      </c>
      <c r="B350" s="107">
        <v>856</v>
      </c>
      <c r="C350" s="107">
        <v>610</v>
      </c>
    </row>
    <row r="351" spans="1:3" x14ac:dyDescent="0.35">
      <c r="A351" s="106" t="s">
        <v>406</v>
      </c>
      <c r="B351" s="109">
        <v>35756</v>
      </c>
      <c r="C351" s="109">
        <v>34478</v>
      </c>
    </row>
    <row r="352" spans="1:3" x14ac:dyDescent="0.35">
      <c r="A352" s="106" t="s">
        <v>407</v>
      </c>
      <c r="B352" s="109">
        <v>34517</v>
      </c>
      <c r="C352" s="109">
        <v>34478</v>
      </c>
    </row>
    <row r="353" spans="1:3" x14ac:dyDescent="0.35">
      <c r="A353" s="106" t="s">
        <v>408</v>
      </c>
      <c r="B353" s="107">
        <v>1034</v>
      </c>
      <c r="C353" s="107">
        <v>1091</v>
      </c>
    </row>
    <row r="354" spans="1:3" x14ac:dyDescent="0.35">
      <c r="A354" s="106" t="s">
        <v>280</v>
      </c>
      <c r="B354" s="109">
        <v>57809</v>
      </c>
      <c r="C354" s="109">
        <v>52876</v>
      </c>
    </row>
    <row r="355" spans="1:3" x14ac:dyDescent="0.35">
      <c r="A355" s="106" t="s">
        <v>70</v>
      </c>
      <c r="B355" s="107">
        <v>5507</v>
      </c>
      <c r="C355" s="107">
        <v>4624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52"/>
  <sheetViews>
    <sheetView workbookViewId="0"/>
  </sheetViews>
  <sheetFormatPr defaultRowHeight="14.5" x14ac:dyDescent="0.35"/>
  <cols>
    <col min="1" max="1" width="90.81640625" style="11" customWidth="1"/>
    <col min="2" max="2" width="35.81640625" style="11" customWidth="1"/>
    <col min="3" max="3" width="9.6328125" style="11" customWidth="1"/>
    <col min="4" max="16384" width="8.7265625" style="11"/>
  </cols>
  <sheetData>
    <row r="1" spans="1:3" x14ac:dyDescent="0.35">
      <c r="A1" s="34" t="s">
        <v>94</v>
      </c>
      <c r="B1" s="35"/>
      <c r="C1" s="35"/>
    </row>
    <row r="2" spans="1:3" x14ac:dyDescent="0.35">
      <c r="A2" s="36" t="s">
        <v>95</v>
      </c>
      <c r="B2" s="37" t="s">
        <v>583</v>
      </c>
      <c r="C2"/>
    </row>
    <row r="3" spans="1:3" x14ac:dyDescent="0.35">
      <c r="A3" s="36" t="s">
        <v>97</v>
      </c>
      <c r="B3" s="36" t="s">
        <v>98</v>
      </c>
      <c r="C3"/>
    </row>
    <row r="4" spans="1:3" x14ac:dyDescent="0.35">
      <c r="A4" s="36" t="s">
        <v>99</v>
      </c>
      <c r="B4" s="36" t="s">
        <v>98</v>
      </c>
      <c r="C4"/>
    </row>
    <row r="5" spans="1:3" x14ac:dyDescent="0.35">
      <c r="A5" s="36" t="s">
        <v>100</v>
      </c>
      <c r="B5" s="36" t="s">
        <v>564</v>
      </c>
      <c r="C5"/>
    </row>
    <row r="6" spans="1:3" x14ac:dyDescent="0.35">
      <c r="A6" s="36" t="s">
        <v>101</v>
      </c>
      <c r="B6" s="36" t="s">
        <v>102</v>
      </c>
      <c r="C6"/>
    </row>
    <row r="7" spans="1:3" x14ac:dyDescent="0.35">
      <c r="A7" s="36" t="s">
        <v>103</v>
      </c>
      <c r="B7" s="36" t="s">
        <v>104</v>
      </c>
      <c r="C7"/>
    </row>
    <row r="8" spans="1:3" x14ac:dyDescent="0.35">
      <c r="A8" s="36" t="s">
        <v>105</v>
      </c>
      <c r="B8" s="36" t="s">
        <v>106</v>
      </c>
      <c r="C8"/>
    </row>
    <row r="9" spans="1:3" x14ac:dyDescent="0.35">
      <c r="A9" s="36" t="s">
        <v>107</v>
      </c>
      <c r="B9" s="36" t="s">
        <v>108</v>
      </c>
      <c r="C9"/>
    </row>
    <row r="10" spans="1:3" x14ac:dyDescent="0.35">
      <c r="A10" s="36" t="s">
        <v>109</v>
      </c>
      <c r="B10" s="38">
        <v>46295.603440486098</v>
      </c>
      <c r="C10"/>
    </row>
    <row r="11" spans="1:3" x14ac:dyDescent="0.35">
      <c r="A11" s="39" t="s">
        <v>110</v>
      </c>
      <c r="B11" s="40" t="s">
        <v>111</v>
      </c>
      <c r="C11" s="40" t="s">
        <v>112</v>
      </c>
    </row>
    <row r="12" spans="1:3" x14ac:dyDescent="0.35">
      <c r="A12" s="41" t="s">
        <v>113</v>
      </c>
      <c r="B12" s="42">
        <v>45599</v>
      </c>
      <c r="C12" s="42">
        <v>45963</v>
      </c>
    </row>
    <row r="13" spans="1:3" x14ac:dyDescent="0.35">
      <c r="A13" s="41" t="s">
        <v>114</v>
      </c>
      <c r="B13" s="42" t="s">
        <v>115</v>
      </c>
      <c r="C13" s="42" t="s">
        <v>115</v>
      </c>
    </row>
    <row r="14" spans="1:3" x14ac:dyDescent="0.35">
      <c r="A14" s="43" t="s">
        <v>116</v>
      </c>
      <c r="B14" s="39"/>
      <c r="C14" s="39"/>
    </row>
    <row r="15" spans="1:3" x14ac:dyDescent="0.35">
      <c r="A15" s="43" t="s">
        <v>117</v>
      </c>
      <c r="B15" s="44" t="s">
        <v>584</v>
      </c>
      <c r="C15" s="44" t="s">
        <v>585</v>
      </c>
    </row>
    <row r="16" spans="1:3" x14ac:dyDescent="0.35">
      <c r="A16" s="45" t="s">
        <v>120</v>
      </c>
      <c r="B16" s="46"/>
      <c r="C16" s="46"/>
    </row>
    <row r="17" spans="1:3" x14ac:dyDescent="0.35">
      <c r="A17" s="47" t="s">
        <v>121</v>
      </c>
      <c r="B17" s="48">
        <v>9348</v>
      </c>
      <c r="C17" s="50">
        <v>16178</v>
      </c>
    </row>
    <row r="18" spans="1:3" x14ac:dyDescent="0.35">
      <c r="A18" s="49" t="s">
        <v>12</v>
      </c>
      <c r="B18" s="48">
        <v>9348</v>
      </c>
      <c r="C18" s="50">
        <v>16178</v>
      </c>
    </row>
    <row r="19" spans="1:3" x14ac:dyDescent="0.35">
      <c r="A19" s="47" t="s">
        <v>122</v>
      </c>
      <c r="B19" s="48">
        <v>6332</v>
      </c>
      <c r="C19" s="50">
        <v>12150</v>
      </c>
    </row>
    <row r="20" spans="1:3" x14ac:dyDescent="0.35">
      <c r="A20" s="49" t="s">
        <v>16</v>
      </c>
      <c r="B20" s="48">
        <v>4416</v>
      </c>
      <c r="C20" s="48">
        <v>7145</v>
      </c>
    </row>
    <row r="21" spans="1:3" x14ac:dyDescent="0.35">
      <c r="A21" s="49" t="s">
        <v>455</v>
      </c>
      <c r="B21" s="48">
        <v>1916</v>
      </c>
      <c r="C21" s="48">
        <v>5005</v>
      </c>
    </row>
    <row r="22" spans="1:3" x14ac:dyDescent="0.35">
      <c r="A22" s="47" t="s">
        <v>18</v>
      </c>
      <c r="B22" s="48">
        <v>1760</v>
      </c>
      <c r="C22" s="48">
        <v>2270</v>
      </c>
    </row>
    <row r="23" spans="1:3" x14ac:dyDescent="0.35">
      <c r="A23" s="49" t="s">
        <v>125</v>
      </c>
      <c r="B23" s="48">
        <v>286</v>
      </c>
      <c r="C23" s="48">
        <v>308</v>
      </c>
    </row>
    <row r="24" spans="1:3" x14ac:dyDescent="0.35">
      <c r="A24" s="49" t="s">
        <v>499</v>
      </c>
      <c r="B24" s="48">
        <v>970</v>
      </c>
      <c r="C24" s="48">
        <v>1280</v>
      </c>
    </row>
    <row r="25" spans="1:3" x14ac:dyDescent="0.35">
      <c r="A25" s="49" t="s">
        <v>126</v>
      </c>
      <c r="B25" s="48">
        <v>504</v>
      </c>
      <c r="C25" s="48">
        <v>682</v>
      </c>
    </row>
    <row r="26" spans="1:3" x14ac:dyDescent="0.35">
      <c r="A26" s="47" t="s">
        <v>127</v>
      </c>
      <c r="B26" s="48">
        <v>1391</v>
      </c>
      <c r="C26" s="48">
        <v>518</v>
      </c>
    </row>
    <row r="27" spans="1:3" x14ac:dyDescent="0.35">
      <c r="A27" s="47" t="s">
        <v>410</v>
      </c>
      <c r="B27" s="48">
        <v>764</v>
      </c>
      <c r="C27" s="48">
        <v>457</v>
      </c>
    </row>
    <row r="28" spans="1:3" x14ac:dyDescent="0.35">
      <c r="A28" s="49" t="s">
        <v>20</v>
      </c>
      <c r="B28" s="48">
        <v>764</v>
      </c>
      <c r="C28" s="48">
        <v>457</v>
      </c>
    </row>
    <row r="29" spans="1:3" x14ac:dyDescent="0.35">
      <c r="A29" s="52" t="s">
        <v>22</v>
      </c>
      <c r="B29" s="53">
        <v>19595</v>
      </c>
      <c r="C29" s="53">
        <v>31573</v>
      </c>
    </row>
    <row r="30" spans="1:3" x14ac:dyDescent="0.35">
      <c r="A30" s="45" t="s">
        <v>128</v>
      </c>
      <c r="B30" s="46"/>
      <c r="C30" s="46"/>
    </row>
    <row r="31" spans="1:3" x14ac:dyDescent="0.35">
      <c r="A31" s="47" t="s">
        <v>27</v>
      </c>
      <c r="B31" s="48">
        <v>3846</v>
      </c>
      <c r="C31" s="48">
        <v>3848</v>
      </c>
    </row>
    <row r="32" spans="1:3" x14ac:dyDescent="0.35">
      <c r="A32" s="49" t="s">
        <v>133</v>
      </c>
      <c r="B32" s="48">
        <v>3846</v>
      </c>
      <c r="C32" s="48">
        <v>3848</v>
      </c>
    </row>
    <row r="33" spans="1:3" x14ac:dyDescent="0.35">
      <c r="A33" s="49" t="s">
        <v>134</v>
      </c>
      <c r="B33" s="48">
        <v>8350</v>
      </c>
      <c r="C33" s="48">
        <v>8744</v>
      </c>
    </row>
    <row r="34" spans="1:3" x14ac:dyDescent="0.35">
      <c r="A34" s="49" t="s">
        <v>135</v>
      </c>
      <c r="B34" s="48">
        <v>8350</v>
      </c>
      <c r="C34" s="48">
        <v>8744</v>
      </c>
    </row>
    <row r="35" spans="1:3" x14ac:dyDescent="0.35">
      <c r="A35" s="49" t="s">
        <v>458</v>
      </c>
      <c r="B35" s="48">
        <v>1722</v>
      </c>
      <c r="C35" s="48">
        <v>1692</v>
      </c>
    </row>
    <row r="36" spans="1:3" x14ac:dyDescent="0.35">
      <c r="A36" s="49" t="s">
        <v>459</v>
      </c>
      <c r="B36" s="48">
        <v>204</v>
      </c>
      <c r="C36" s="48">
        <v>204</v>
      </c>
    </row>
    <row r="37" spans="1:3" x14ac:dyDescent="0.35">
      <c r="A37" s="49" t="s">
        <v>460</v>
      </c>
      <c r="B37" s="48">
        <v>1518</v>
      </c>
      <c r="C37" s="48">
        <v>1488</v>
      </c>
    </row>
    <row r="38" spans="1:3" x14ac:dyDescent="0.35">
      <c r="A38" s="49" t="s">
        <v>447</v>
      </c>
      <c r="B38" s="48">
        <v>5246</v>
      </c>
      <c r="C38" s="48">
        <v>5656</v>
      </c>
    </row>
    <row r="39" spans="1:3" x14ac:dyDescent="0.35">
      <c r="A39" s="49" t="s">
        <v>462</v>
      </c>
      <c r="B39" s="51">
        <v>57</v>
      </c>
      <c r="C39" s="51">
        <v>78</v>
      </c>
    </row>
    <row r="40" spans="1:3" x14ac:dyDescent="0.35">
      <c r="A40" s="49" t="s">
        <v>136</v>
      </c>
      <c r="B40" s="48">
        <v>1325</v>
      </c>
      <c r="C40" s="48">
        <v>1318</v>
      </c>
    </row>
    <row r="41" spans="1:3" x14ac:dyDescent="0.35">
      <c r="A41" s="49" t="s">
        <v>137</v>
      </c>
      <c r="B41" s="48">
        <v>1325</v>
      </c>
      <c r="C41" s="48">
        <v>1318</v>
      </c>
    </row>
    <row r="42" spans="1:3" x14ac:dyDescent="0.35">
      <c r="A42" s="49" t="s">
        <v>139</v>
      </c>
      <c r="B42" s="48">
        <v>4504</v>
      </c>
      <c r="C42" s="48">
        <v>4896</v>
      </c>
    </row>
    <row r="43" spans="1:3" x14ac:dyDescent="0.35">
      <c r="A43" s="49" t="s">
        <v>140</v>
      </c>
      <c r="B43" s="48">
        <v>4504</v>
      </c>
      <c r="C43" s="48">
        <v>4896</v>
      </c>
    </row>
    <row r="44" spans="1:3" x14ac:dyDescent="0.35">
      <c r="A44" s="47" t="s">
        <v>141</v>
      </c>
      <c r="B44" s="48">
        <v>3748</v>
      </c>
      <c r="C44" s="48">
        <v>5597</v>
      </c>
    </row>
    <row r="45" spans="1:3" x14ac:dyDescent="0.35">
      <c r="A45" s="49" t="s">
        <v>31</v>
      </c>
      <c r="B45" s="48">
        <v>3748</v>
      </c>
      <c r="C45" s="48">
        <v>5597</v>
      </c>
    </row>
    <row r="46" spans="1:3" x14ac:dyDescent="0.35">
      <c r="A46" s="47" t="s">
        <v>29</v>
      </c>
      <c r="B46" s="50">
        <v>138456</v>
      </c>
      <c r="C46" s="50">
        <v>130074</v>
      </c>
    </row>
    <row r="47" spans="1:3" x14ac:dyDescent="0.35">
      <c r="A47" s="49" t="s">
        <v>421</v>
      </c>
      <c r="B47" s="50">
        <v>97873</v>
      </c>
      <c r="C47" s="50">
        <v>97801</v>
      </c>
    </row>
    <row r="48" spans="1:3" x14ac:dyDescent="0.35">
      <c r="A48" s="49" t="s">
        <v>464</v>
      </c>
      <c r="B48" s="50">
        <v>40583</v>
      </c>
      <c r="C48" s="50">
        <v>32273</v>
      </c>
    </row>
    <row r="49" spans="1:3" x14ac:dyDescent="0.35">
      <c r="A49" s="49" t="s">
        <v>489</v>
      </c>
      <c r="B49" s="50">
        <v>22916</v>
      </c>
      <c r="C49" s="50">
        <v>18380</v>
      </c>
    </row>
    <row r="50" spans="1:3" x14ac:dyDescent="0.35">
      <c r="A50" s="49" t="s">
        <v>544</v>
      </c>
      <c r="B50" s="48">
        <v>2340</v>
      </c>
      <c r="C50" s="48">
        <v>820</v>
      </c>
    </row>
    <row r="51" spans="1:3" x14ac:dyDescent="0.35">
      <c r="A51" s="49" t="s">
        <v>490</v>
      </c>
      <c r="B51" s="48">
        <v>1351</v>
      </c>
      <c r="C51" s="48">
        <v>1213</v>
      </c>
    </row>
    <row r="52" spans="1:3" x14ac:dyDescent="0.35">
      <c r="A52" s="49" t="s">
        <v>491</v>
      </c>
      <c r="B52" s="50">
        <v>13976</v>
      </c>
      <c r="C52" s="50">
        <v>11860</v>
      </c>
    </row>
    <row r="53" spans="1:3" x14ac:dyDescent="0.35">
      <c r="A53" s="52" t="s">
        <v>33</v>
      </c>
      <c r="B53" s="53">
        <v>146050</v>
      </c>
      <c r="C53" s="53">
        <v>139519</v>
      </c>
    </row>
    <row r="54" spans="1:3" x14ac:dyDescent="0.35">
      <c r="A54" s="45" t="s">
        <v>35</v>
      </c>
      <c r="B54" s="46"/>
      <c r="C54" s="46"/>
    </row>
    <row r="55" spans="1:3" x14ac:dyDescent="0.35">
      <c r="A55" s="52" t="s">
        <v>35</v>
      </c>
      <c r="B55" s="53">
        <v>165645</v>
      </c>
      <c r="C55" s="53">
        <v>171092</v>
      </c>
    </row>
    <row r="56" spans="1:3" x14ac:dyDescent="0.35">
      <c r="A56" s="45" t="s">
        <v>143</v>
      </c>
      <c r="B56" s="46"/>
      <c r="C56" s="46"/>
    </row>
    <row r="57" spans="1:3" x14ac:dyDescent="0.35">
      <c r="A57" s="47" t="s">
        <v>144</v>
      </c>
      <c r="B57" s="48">
        <v>3633</v>
      </c>
      <c r="C57" s="48">
        <v>3689</v>
      </c>
    </row>
    <row r="58" spans="1:3" x14ac:dyDescent="0.35">
      <c r="A58" s="49" t="s">
        <v>37</v>
      </c>
      <c r="B58" s="48">
        <v>1662</v>
      </c>
      <c r="C58" s="48">
        <v>1560</v>
      </c>
    </row>
    <row r="59" spans="1:3" x14ac:dyDescent="0.35">
      <c r="A59" s="49" t="s">
        <v>145</v>
      </c>
      <c r="B59" s="48">
        <v>1971</v>
      </c>
      <c r="C59" s="48">
        <v>2129</v>
      </c>
    </row>
    <row r="60" spans="1:3" x14ac:dyDescent="0.35">
      <c r="A60" s="47" t="s">
        <v>39</v>
      </c>
      <c r="B60" s="48">
        <v>1271</v>
      </c>
      <c r="C60" s="48">
        <v>3152</v>
      </c>
    </row>
    <row r="61" spans="1:3" x14ac:dyDescent="0.35">
      <c r="A61" s="49" t="s">
        <v>146</v>
      </c>
      <c r="B61" s="48">
        <v>1271</v>
      </c>
      <c r="C61" s="48">
        <v>3152</v>
      </c>
    </row>
    <row r="62" spans="1:3" x14ac:dyDescent="0.35">
      <c r="A62" s="49" t="s">
        <v>147</v>
      </c>
      <c r="B62" s="48">
        <v>1245</v>
      </c>
      <c r="C62" s="48">
        <v>3152</v>
      </c>
    </row>
    <row r="63" spans="1:3" x14ac:dyDescent="0.35">
      <c r="A63" s="49" t="s">
        <v>148</v>
      </c>
      <c r="B63" s="51">
        <v>26</v>
      </c>
      <c r="C63" s="50">
        <v>0</v>
      </c>
    </row>
    <row r="64" spans="1:3" x14ac:dyDescent="0.35">
      <c r="A64" s="47" t="s">
        <v>149</v>
      </c>
      <c r="B64" s="48">
        <v>720</v>
      </c>
      <c r="C64" s="48">
        <v>921</v>
      </c>
    </row>
    <row r="65" spans="1:3" x14ac:dyDescent="0.35">
      <c r="A65" s="47" t="s">
        <v>150</v>
      </c>
      <c r="B65" s="48">
        <v>207</v>
      </c>
      <c r="C65" s="48">
        <v>144</v>
      </c>
    </row>
    <row r="66" spans="1:3" x14ac:dyDescent="0.35">
      <c r="A66" s="47" t="s">
        <v>423</v>
      </c>
      <c r="B66" s="50">
        <v>10866</v>
      </c>
      <c r="C66" s="50">
        <v>10608</v>
      </c>
    </row>
    <row r="67" spans="1:3" x14ac:dyDescent="0.35">
      <c r="A67" s="49" t="s">
        <v>465</v>
      </c>
      <c r="B67" s="48">
        <v>9395</v>
      </c>
      <c r="C67" s="48">
        <v>9469</v>
      </c>
    </row>
    <row r="68" spans="1:3" x14ac:dyDescent="0.35">
      <c r="A68" s="49" t="s">
        <v>41</v>
      </c>
      <c r="B68" s="48">
        <v>1471</v>
      </c>
      <c r="C68" s="48">
        <v>1139</v>
      </c>
    </row>
    <row r="69" spans="1:3" x14ac:dyDescent="0.35">
      <c r="A69" s="52" t="s">
        <v>43</v>
      </c>
      <c r="B69" s="53">
        <v>16697</v>
      </c>
      <c r="C69" s="53">
        <v>18514</v>
      </c>
    </row>
    <row r="70" spans="1:3" x14ac:dyDescent="0.35">
      <c r="A70" s="45" t="s">
        <v>151</v>
      </c>
      <c r="B70" s="46"/>
      <c r="C70" s="46"/>
    </row>
    <row r="71" spans="1:3" x14ac:dyDescent="0.35">
      <c r="A71" s="47" t="s">
        <v>467</v>
      </c>
      <c r="B71" s="48">
        <v>3669</v>
      </c>
      <c r="C71" s="48">
        <v>1628</v>
      </c>
    </row>
    <row r="72" spans="1:3" x14ac:dyDescent="0.35">
      <c r="A72" s="49" t="s">
        <v>468</v>
      </c>
      <c r="B72" s="48">
        <v>3669</v>
      </c>
      <c r="C72" s="48">
        <v>1628</v>
      </c>
    </row>
    <row r="73" spans="1:3" x14ac:dyDescent="0.35">
      <c r="A73" s="47" t="s">
        <v>45</v>
      </c>
      <c r="B73" s="50">
        <v>66295</v>
      </c>
      <c r="C73" s="50">
        <v>61984</v>
      </c>
    </row>
    <row r="74" spans="1:3" x14ac:dyDescent="0.35">
      <c r="A74" s="49" t="s">
        <v>152</v>
      </c>
      <c r="B74" s="50">
        <v>66282</v>
      </c>
      <c r="C74" s="50">
        <v>61984</v>
      </c>
    </row>
    <row r="75" spans="1:3" x14ac:dyDescent="0.35">
      <c r="A75" s="49" t="s">
        <v>153</v>
      </c>
      <c r="B75" s="50">
        <v>66282</v>
      </c>
      <c r="C75" s="50">
        <v>61984</v>
      </c>
    </row>
    <row r="76" spans="1:3" x14ac:dyDescent="0.35">
      <c r="A76" s="49" t="s">
        <v>154</v>
      </c>
      <c r="B76" s="51">
        <v>13</v>
      </c>
      <c r="C76" s="50">
        <v>0</v>
      </c>
    </row>
    <row r="77" spans="1:3" x14ac:dyDescent="0.35">
      <c r="A77" s="47" t="s">
        <v>155</v>
      </c>
      <c r="B77" s="48">
        <v>4703</v>
      </c>
      <c r="C77" s="48">
        <v>2704</v>
      </c>
    </row>
    <row r="78" spans="1:3" x14ac:dyDescent="0.35">
      <c r="A78" s="49" t="s">
        <v>156</v>
      </c>
      <c r="B78" s="48">
        <v>4703</v>
      </c>
      <c r="C78" s="48">
        <v>2704</v>
      </c>
    </row>
    <row r="79" spans="1:3" x14ac:dyDescent="0.35">
      <c r="A79" s="47" t="s">
        <v>157</v>
      </c>
      <c r="B79" s="48">
        <v>1143</v>
      </c>
      <c r="C79" s="48">
        <v>1181</v>
      </c>
    </row>
    <row r="80" spans="1:3" x14ac:dyDescent="0.35">
      <c r="A80" s="47" t="s">
        <v>158</v>
      </c>
      <c r="B80" s="48">
        <v>5460</v>
      </c>
      <c r="C80" s="48">
        <v>3789</v>
      </c>
    </row>
    <row r="81" spans="1:3" x14ac:dyDescent="0.35">
      <c r="A81" s="49" t="s">
        <v>523</v>
      </c>
      <c r="B81" s="48">
        <v>5100</v>
      </c>
      <c r="C81" s="48">
        <v>3547</v>
      </c>
    </row>
    <row r="82" spans="1:3" x14ac:dyDescent="0.35">
      <c r="A82" s="49" t="s">
        <v>47</v>
      </c>
      <c r="B82" s="48">
        <v>360</v>
      </c>
      <c r="C82" s="48">
        <v>242</v>
      </c>
    </row>
    <row r="83" spans="1:3" x14ac:dyDescent="0.35">
      <c r="A83" s="47" t="s">
        <v>49</v>
      </c>
      <c r="B83" s="50">
        <v>81270</v>
      </c>
      <c r="C83" s="50">
        <v>71286</v>
      </c>
    </row>
    <row r="84" spans="1:3" x14ac:dyDescent="0.35">
      <c r="A84" s="45" t="s">
        <v>51</v>
      </c>
      <c r="B84" s="46"/>
      <c r="C84" s="46"/>
    </row>
    <row r="85" spans="1:3" x14ac:dyDescent="0.35">
      <c r="A85" s="52" t="s">
        <v>51</v>
      </c>
      <c r="B85" s="53">
        <v>97967</v>
      </c>
      <c r="C85" s="53">
        <v>89800</v>
      </c>
    </row>
    <row r="86" spans="1:3" x14ac:dyDescent="0.35">
      <c r="A86" s="45" t="s">
        <v>162</v>
      </c>
      <c r="B86" s="46"/>
      <c r="C86" s="46"/>
    </row>
    <row r="87" spans="1:3" x14ac:dyDescent="0.35">
      <c r="A87" s="47" t="s">
        <v>163</v>
      </c>
      <c r="B87" s="50">
        <v>67678</v>
      </c>
      <c r="C87" s="50">
        <v>81292</v>
      </c>
    </row>
    <row r="88" spans="1:3" x14ac:dyDescent="0.35">
      <c r="A88" s="49" t="s">
        <v>424</v>
      </c>
      <c r="B88" s="50">
        <v>0</v>
      </c>
      <c r="C88" s="50"/>
    </row>
    <row r="89" spans="1:3" x14ac:dyDescent="0.35">
      <c r="A89" s="49" t="s">
        <v>586</v>
      </c>
      <c r="B89" s="50">
        <v>0</v>
      </c>
      <c r="C89" s="50"/>
    </row>
    <row r="90" spans="1:3" x14ac:dyDescent="0.35">
      <c r="A90" s="49" t="s">
        <v>164</v>
      </c>
      <c r="B90" s="50">
        <v>67678</v>
      </c>
      <c r="C90" s="50">
        <v>81292</v>
      </c>
    </row>
    <row r="91" spans="1:3" x14ac:dyDescent="0.35">
      <c r="A91" s="49" t="s">
        <v>166</v>
      </c>
      <c r="B91" s="50">
        <v>67471</v>
      </c>
      <c r="C91" s="50">
        <v>71313</v>
      </c>
    </row>
    <row r="92" spans="1:3" x14ac:dyDescent="0.35">
      <c r="A92" s="49" t="s">
        <v>167</v>
      </c>
      <c r="B92" s="51">
        <v>5</v>
      </c>
      <c r="C92" s="51">
        <v>5</v>
      </c>
    </row>
    <row r="93" spans="1:3" x14ac:dyDescent="0.35">
      <c r="A93" s="49" t="s">
        <v>168</v>
      </c>
      <c r="B93" s="50">
        <v>67466</v>
      </c>
      <c r="C93" s="50">
        <v>71308</v>
      </c>
    </row>
    <row r="94" spans="1:3" x14ac:dyDescent="0.35">
      <c r="A94" s="49" t="s">
        <v>169</v>
      </c>
      <c r="B94" s="48">
        <v>207</v>
      </c>
      <c r="C94" s="48">
        <v>9979</v>
      </c>
    </row>
    <row r="95" spans="1:3" x14ac:dyDescent="0.35">
      <c r="A95" s="49" t="s">
        <v>170</v>
      </c>
      <c r="B95" s="50">
        <v>0</v>
      </c>
      <c r="C95" s="48">
        <v>9761</v>
      </c>
    </row>
    <row r="96" spans="1:3" x14ac:dyDescent="0.35">
      <c r="A96" s="49" t="s">
        <v>171</v>
      </c>
      <c r="B96" s="48">
        <v>207</v>
      </c>
      <c r="C96" s="48">
        <v>218</v>
      </c>
    </row>
    <row r="97" spans="1:3" x14ac:dyDescent="0.35">
      <c r="A97" s="49" t="s">
        <v>53</v>
      </c>
      <c r="B97" s="50">
        <v>67678</v>
      </c>
      <c r="C97" s="50">
        <v>81292</v>
      </c>
    </row>
    <row r="98" spans="1:3" x14ac:dyDescent="0.35">
      <c r="A98" s="45" t="s">
        <v>176</v>
      </c>
      <c r="B98" s="46"/>
      <c r="C98" s="46"/>
    </row>
    <row r="99" spans="1:3" x14ac:dyDescent="0.35">
      <c r="A99" s="52" t="s">
        <v>57</v>
      </c>
      <c r="B99" s="53">
        <v>67678</v>
      </c>
      <c r="C99" s="53">
        <v>81292</v>
      </c>
    </row>
    <row r="100" spans="1:3" x14ac:dyDescent="0.35">
      <c r="A100" s="45" t="s">
        <v>177</v>
      </c>
      <c r="B100" s="46"/>
      <c r="C100" s="46"/>
    </row>
    <row r="101" spans="1:3" x14ac:dyDescent="0.35">
      <c r="A101" s="52" t="s">
        <v>60</v>
      </c>
      <c r="B101" s="53">
        <v>165645</v>
      </c>
      <c r="C101" s="53">
        <v>171092</v>
      </c>
    </row>
    <row r="102" spans="1:3" x14ac:dyDescent="0.35">
      <c r="A102" s="45" t="s">
        <v>178</v>
      </c>
      <c r="B102" s="46"/>
      <c r="C102" s="46"/>
    </row>
    <row r="103" spans="1:3" x14ac:dyDescent="0.35">
      <c r="A103" s="47" t="s">
        <v>179</v>
      </c>
      <c r="B103" s="48">
        <v>4686</v>
      </c>
      <c r="C103" s="48">
        <v>4741</v>
      </c>
    </row>
    <row r="104" spans="1:3" x14ac:dyDescent="0.35">
      <c r="A104" s="49" t="s">
        <v>180</v>
      </c>
      <c r="B104" s="48">
        <v>4686</v>
      </c>
      <c r="C104" s="48">
        <v>4741</v>
      </c>
    </row>
    <row r="105" spans="1:3" x14ac:dyDescent="0.35">
      <c r="A105" s="49" t="s">
        <v>181</v>
      </c>
      <c r="B105" s="50">
        <v>0</v>
      </c>
      <c r="C105" s="50">
        <v>0</v>
      </c>
    </row>
    <row r="106" spans="1:3" x14ac:dyDescent="0.35">
      <c r="A106" s="47" t="s">
        <v>182</v>
      </c>
      <c r="B106" s="50">
        <v>29000</v>
      </c>
      <c r="C106" s="50">
        <v>29000</v>
      </c>
    </row>
    <row r="107" spans="1:3" x14ac:dyDescent="0.35">
      <c r="A107" s="47" t="s">
        <v>183</v>
      </c>
      <c r="B107" s="48">
        <v>4686</v>
      </c>
      <c r="C107" s="48">
        <v>4741</v>
      </c>
    </row>
    <row r="108" spans="1:3" x14ac:dyDescent="0.35">
      <c r="A108" s="49" t="s">
        <v>184</v>
      </c>
      <c r="B108" s="48">
        <v>4686</v>
      </c>
      <c r="C108" s="48">
        <v>4741</v>
      </c>
    </row>
    <row r="109" spans="1:3" x14ac:dyDescent="0.35">
      <c r="A109" s="49" t="s">
        <v>185</v>
      </c>
      <c r="B109" s="50">
        <v>0</v>
      </c>
      <c r="C109" s="50">
        <v>0</v>
      </c>
    </row>
    <row r="110" spans="1:3" x14ac:dyDescent="0.35">
      <c r="A110" s="45" t="s">
        <v>587</v>
      </c>
      <c r="B110" s="46"/>
      <c r="C110" s="46"/>
    </row>
    <row r="111" spans="1:3" x14ac:dyDescent="0.35">
      <c r="A111" s="47" t="s">
        <v>588</v>
      </c>
      <c r="B111" s="48">
        <v>100</v>
      </c>
      <c r="C111" s="48">
        <v>100</v>
      </c>
    </row>
    <row r="112" spans="1:3" x14ac:dyDescent="0.35">
      <c r="A112" s="47" t="s">
        <v>589</v>
      </c>
      <c r="B112" s="50">
        <v>0</v>
      </c>
      <c r="C112" s="50">
        <v>0</v>
      </c>
    </row>
    <row r="113" spans="1:3" x14ac:dyDescent="0.35">
      <c r="A113" s="49" t="s">
        <v>590</v>
      </c>
      <c r="B113" s="50">
        <v>0</v>
      </c>
      <c r="C113" s="50">
        <v>0</v>
      </c>
    </row>
    <row r="114" spans="1:3" x14ac:dyDescent="0.35">
      <c r="A114" s="49" t="s">
        <v>591</v>
      </c>
      <c r="B114" s="50">
        <v>0</v>
      </c>
      <c r="C114" s="50">
        <v>0</v>
      </c>
    </row>
    <row r="115" spans="1:3" x14ac:dyDescent="0.35">
      <c r="A115" s="45" t="s">
        <v>186</v>
      </c>
      <c r="B115" s="46"/>
      <c r="C115" s="46"/>
    </row>
    <row r="116" spans="1:3" x14ac:dyDescent="0.35">
      <c r="A116" s="47" t="s">
        <v>187</v>
      </c>
      <c r="B116" s="51">
        <v>1</v>
      </c>
      <c r="C116" s="51">
        <v>1</v>
      </c>
    </row>
    <row r="117" spans="1:3" x14ac:dyDescent="0.35">
      <c r="A117" s="45" t="s">
        <v>188</v>
      </c>
      <c r="B117" s="46"/>
      <c r="C117" s="46"/>
    </row>
    <row r="118" spans="1:3" x14ac:dyDescent="0.35">
      <c r="A118" s="47" t="s">
        <v>189</v>
      </c>
      <c r="B118" s="48">
        <v>1340</v>
      </c>
      <c r="C118" s="48">
        <v>1318</v>
      </c>
    </row>
    <row r="119" spans="1:3" x14ac:dyDescent="0.35">
      <c r="A119" s="49" t="s">
        <v>190</v>
      </c>
      <c r="B119" s="48">
        <v>1325</v>
      </c>
      <c r="C119" s="48">
        <v>1318</v>
      </c>
    </row>
    <row r="120" spans="1:3" x14ac:dyDescent="0.35">
      <c r="A120" s="49" t="s">
        <v>191</v>
      </c>
      <c r="B120" s="51">
        <v>15</v>
      </c>
      <c r="C120" s="50"/>
    </row>
    <row r="121" spans="1:3" x14ac:dyDescent="0.35">
      <c r="A121" s="47" t="s">
        <v>192</v>
      </c>
      <c r="B121" s="48">
        <v>2506</v>
      </c>
      <c r="C121" s="48">
        <v>2530</v>
      </c>
    </row>
    <row r="122" spans="1:3" x14ac:dyDescent="0.35">
      <c r="A122" s="45" t="s">
        <v>193</v>
      </c>
      <c r="B122" s="46"/>
      <c r="C122" s="46"/>
    </row>
    <row r="123" spans="1:3" x14ac:dyDescent="0.35">
      <c r="A123" s="47" t="s">
        <v>194</v>
      </c>
      <c r="B123" s="48">
        <v>1350</v>
      </c>
      <c r="C123" s="48">
        <v>1325</v>
      </c>
    </row>
    <row r="124" spans="1:3" x14ac:dyDescent="0.35">
      <c r="A124" s="49" t="s">
        <v>195</v>
      </c>
      <c r="B124" s="48">
        <v>207</v>
      </c>
      <c r="C124" s="48">
        <v>144</v>
      </c>
    </row>
    <row r="125" spans="1:3" x14ac:dyDescent="0.35">
      <c r="A125" s="49" t="s">
        <v>196</v>
      </c>
      <c r="B125" s="48">
        <v>1143</v>
      </c>
      <c r="C125" s="48">
        <v>1181</v>
      </c>
    </row>
    <row r="126" spans="1:3" x14ac:dyDescent="0.35">
      <c r="A126" s="47" t="s">
        <v>197</v>
      </c>
      <c r="B126" s="48">
        <v>1389</v>
      </c>
      <c r="C126" s="48">
        <v>1325</v>
      </c>
    </row>
    <row r="127" spans="1:3" x14ac:dyDescent="0.35">
      <c r="A127" s="47" t="s">
        <v>198</v>
      </c>
      <c r="B127" s="50">
        <v>68916</v>
      </c>
      <c r="C127" s="50">
        <v>66461</v>
      </c>
    </row>
    <row r="128" spans="1:3" x14ac:dyDescent="0.35">
      <c r="A128" s="45" t="s">
        <v>199</v>
      </c>
      <c r="B128" s="46"/>
      <c r="C128" s="46"/>
    </row>
    <row r="129" spans="1:3" x14ac:dyDescent="0.35">
      <c r="A129" s="47" t="s">
        <v>201</v>
      </c>
      <c r="B129" s="48">
        <v>6332</v>
      </c>
      <c r="C129" s="50">
        <v>12150</v>
      </c>
    </row>
    <row r="130" spans="1:3" x14ac:dyDescent="0.35">
      <c r="A130" s="47" t="s">
        <v>203</v>
      </c>
      <c r="B130" s="48">
        <v>4512</v>
      </c>
      <c r="C130" s="48">
        <v>6054</v>
      </c>
    </row>
    <row r="131" spans="1:3" x14ac:dyDescent="0.35">
      <c r="A131" s="47" t="s">
        <v>204</v>
      </c>
      <c r="B131" s="48">
        <v>720</v>
      </c>
      <c r="C131" s="48">
        <v>921</v>
      </c>
    </row>
    <row r="132" spans="1:3" x14ac:dyDescent="0.35">
      <c r="A132" s="47" t="s">
        <v>205</v>
      </c>
      <c r="B132" s="48">
        <v>7302</v>
      </c>
      <c r="C132" s="48">
        <v>5317</v>
      </c>
    </row>
    <row r="133" spans="1:3" x14ac:dyDescent="0.35">
      <c r="A133" s="49" t="s">
        <v>206</v>
      </c>
      <c r="B133" s="48">
        <v>1662</v>
      </c>
      <c r="C133" s="48">
        <v>1560</v>
      </c>
    </row>
    <row r="134" spans="1:3" x14ac:dyDescent="0.35">
      <c r="A134" s="49" t="s">
        <v>207</v>
      </c>
      <c r="B134" s="48">
        <v>5640</v>
      </c>
      <c r="C134" s="48">
        <v>3757</v>
      </c>
    </row>
    <row r="135" spans="1:3" x14ac:dyDescent="0.35">
      <c r="A135" s="47" t="s">
        <v>470</v>
      </c>
      <c r="B135" s="48">
        <v>1916</v>
      </c>
      <c r="C135" s="48">
        <v>5005</v>
      </c>
    </row>
    <row r="136" spans="1:3" x14ac:dyDescent="0.35">
      <c r="A136" s="45" t="s">
        <v>208</v>
      </c>
      <c r="B136" s="46"/>
      <c r="C136" s="46"/>
    </row>
    <row r="137" spans="1:3" x14ac:dyDescent="0.35">
      <c r="A137" s="47" t="s">
        <v>209</v>
      </c>
      <c r="B137" s="50">
        <v>58218</v>
      </c>
      <c r="C137" s="50">
        <v>48958</v>
      </c>
    </row>
    <row r="138" spans="1:3" x14ac:dyDescent="0.35">
      <c r="A138" s="47" t="s">
        <v>210</v>
      </c>
      <c r="B138" s="50">
        <v>67566</v>
      </c>
      <c r="C138" s="50">
        <v>65136</v>
      </c>
    </row>
    <row r="139" spans="1:3" x14ac:dyDescent="0.35">
      <c r="A139" s="47" t="s">
        <v>211</v>
      </c>
      <c r="B139" s="50">
        <v>0</v>
      </c>
      <c r="C139" s="50">
        <v>0</v>
      </c>
    </row>
    <row r="140" spans="1:3" x14ac:dyDescent="0.35">
      <c r="A140" s="47" t="s">
        <v>213</v>
      </c>
      <c r="B140" s="48">
        <v>7500</v>
      </c>
      <c r="C140" s="48">
        <v>7500</v>
      </c>
    </row>
    <row r="141" spans="1:3" x14ac:dyDescent="0.35">
      <c r="A141" s="45" t="s">
        <v>214</v>
      </c>
      <c r="B141" s="46"/>
      <c r="C141" s="46"/>
    </row>
    <row r="142" spans="1:3" x14ac:dyDescent="0.35">
      <c r="A142" s="47" t="s">
        <v>215</v>
      </c>
      <c r="B142" s="50">
        <v>69847</v>
      </c>
      <c r="C142" s="50">
        <v>67120</v>
      </c>
    </row>
    <row r="143" spans="1:3" x14ac:dyDescent="0.35">
      <c r="A143" s="49" t="s">
        <v>216</v>
      </c>
      <c r="B143" s="48">
        <v>1245</v>
      </c>
      <c r="C143" s="48">
        <v>3152</v>
      </c>
    </row>
    <row r="144" spans="1:3" x14ac:dyDescent="0.35">
      <c r="A144" s="49" t="s">
        <v>217</v>
      </c>
      <c r="B144" s="48">
        <v>3152</v>
      </c>
      <c r="C144" s="48">
        <v>2500</v>
      </c>
    </row>
    <row r="145" spans="1:3" x14ac:dyDescent="0.35">
      <c r="A145" s="49" t="s">
        <v>218</v>
      </c>
      <c r="B145" s="50">
        <v>11732</v>
      </c>
      <c r="C145" s="48">
        <v>7120</v>
      </c>
    </row>
    <row r="146" spans="1:3" x14ac:dyDescent="0.35">
      <c r="A146" s="49" t="s">
        <v>219</v>
      </c>
      <c r="B146" s="48">
        <v>4270</v>
      </c>
      <c r="C146" s="48">
        <v>4655</v>
      </c>
    </row>
    <row r="147" spans="1:3" x14ac:dyDescent="0.35">
      <c r="A147" s="49" t="s">
        <v>220</v>
      </c>
      <c r="B147" s="50">
        <v>12655</v>
      </c>
      <c r="C147" s="48">
        <v>6406</v>
      </c>
    </row>
    <row r="148" spans="1:3" x14ac:dyDescent="0.35">
      <c r="A148" s="49" t="s">
        <v>431</v>
      </c>
      <c r="B148" s="50">
        <v>36793</v>
      </c>
      <c r="C148" s="50">
        <v>43287</v>
      </c>
    </row>
    <row r="149" spans="1:3" x14ac:dyDescent="0.35">
      <c r="A149" s="47" t="s">
        <v>221</v>
      </c>
      <c r="B149" s="50">
        <v>14884</v>
      </c>
      <c r="C149" s="48">
        <v>9620</v>
      </c>
    </row>
    <row r="150" spans="1:3" x14ac:dyDescent="0.35">
      <c r="A150" s="47" t="s">
        <v>222</v>
      </c>
      <c r="B150" s="50">
        <v>16925</v>
      </c>
      <c r="C150" s="50">
        <v>11061</v>
      </c>
    </row>
    <row r="151" spans="1:3" x14ac:dyDescent="0.35">
      <c r="A151" s="47" t="s">
        <v>432</v>
      </c>
      <c r="B151" s="50">
        <v>36793</v>
      </c>
      <c r="C151" s="50">
        <v>43287</v>
      </c>
    </row>
    <row r="152" spans="1:3" x14ac:dyDescent="0.35">
      <c r="A152" s="45" t="s">
        <v>223</v>
      </c>
      <c r="B152" s="46"/>
      <c r="C152" s="46"/>
    </row>
    <row r="153" spans="1:3" x14ac:dyDescent="0.35">
      <c r="A153" s="47" t="s">
        <v>224</v>
      </c>
      <c r="B153" s="51">
        <v>39</v>
      </c>
      <c r="C153" s="50"/>
    </row>
    <row r="154" spans="1:3" x14ac:dyDescent="0.35">
      <c r="A154" s="49" t="s">
        <v>225</v>
      </c>
      <c r="B154" s="51">
        <v>26</v>
      </c>
      <c r="C154" s="50"/>
    </row>
    <row r="155" spans="1:3" x14ac:dyDescent="0.35">
      <c r="A155" s="49" t="s">
        <v>226</v>
      </c>
      <c r="B155" s="51">
        <v>8</v>
      </c>
      <c r="C155" s="50"/>
    </row>
    <row r="156" spans="1:3" x14ac:dyDescent="0.35">
      <c r="A156" s="49" t="s">
        <v>227</v>
      </c>
      <c r="B156" s="51">
        <v>3</v>
      </c>
      <c r="C156" s="50"/>
    </row>
    <row r="157" spans="1:3" x14ac:dyDescent="0.35">
      <c r="A157" s="49" t="s">
        <v>228</v>
      </c>
      <c r="B157" s="51">
        <v>2</v>
      </c>
      <c r="C157" s="50"/>
    </row>
    <row r="158" spans="1:3" x14ac:dyDescent="0.35">
      <c r="A158" s="49" t="s">
        <v>229</v>
      </c>
      <c r="B158" s="51">
        <v>2</v>
      </c>
      <c r="C158" s="50"/>
    </row>
    <row r="159" spans="1:3" x14ac:dyDescent="0.35">
      <c r="A159" s="49" t="s">
        <v>231</v>
      </c>
      <c r="B159" s="51">
        <v>2</v>
      </c>
      <c r="C159" s="50"/>
    </row>
    <row r="160" spans="1:3" x14ac:dyDescent="0.35">
      <c r="A160" s="47" t="s">
        <v>232</v>
      </c>
      <c r="B160" s="51">
        <v>11</v>
      </c>
      <c r="C160" s="50"/>
    </row>
    <row r="161" spans="1:3" x14ac:dyDescent="0.35">
      <c r="A161" s="47" t="s">
        <v>233</v>
      </c>
      <c r="B161" s="51">
        <v>4</v>
      </c>
      <c r="C161" s="50"/>
    </row>
    <row r="162" spans="1:3" x14ac:dyDescent="0.35">
      <c r="A162" s="45" t="s">
        <v>235</v>
      </c>
      <c r="B162" s="46"/>
      <c r="C162" s="46"/>
    </row>
    <row r="163" spans="1:3" x14ac:dyDescent="0.35">
      <c r="A163" s="47" t="s">
        <v>236</v>
      </c>
      <c r="B163" s="51">
        <v>11</v>
      </c>
      <c r="C163" s="51">
        <v>11</v>
      </c>
    </row>
    <row r="164" spans="1:3" x14ac:dyDescent="0.35">
      <c r="A164" s="47" t="s">
        <v>237</v>
      </c>
      <c r="B164" s="51">
        <v>2</v>
      </c>
      <c r="C164" s="50"/>
    </row>
    <row r="165" spans="1:3" x14ac:dyDescent="0.35">
      <c r="A165" s="47" t="s">
        <v>238</v>
      </c>
      <c r="B165" s="56">
        <v>0</v>
      </c>
      <c r="C165" s="56">
        <v>0</v>
      </c>
    </row>
    <row r="166" spans="1:3" x14ac:dyDescent="0.35">
      <c r="A166" s="47" t="s">
        <v>239</v>
      </c>
      <c r="B166" s="56">
        <v>0</v>
      </c>
      <c r="C166" s="56"/>
    </row>
    <row r="167" spans="1:3" x14ac:dyDescent="0.35">
      <c r="A167" s="45" t="s">
        <v>82</v>
      </c>
      <c r="B167" s="46"/>
      <c r="C167" s="46"/>
    </row>
    <row r="168" spans="1:3" x14ac:dyDescent="0.35">
      <c r="A168" s="47" t="s">
        <v>471</v>
      </c>
      <c r="B168" s="48">
        <v>9395</v>
      </c>
      <c r="C168" s="48">
        <v>9469</v>
      </c>
    </row>
    <row r="169" spans="1:3" x14ac:dyDescent="0.35">
      <c r="A169" s="47" t="s">
        <v>527</v>
      </c>
      <c r="B169" s="48">
        <v>5100</v>
      </c>
      <c r="C169" s="48">
        <v>3547</v>
      </c>
    </row>
    <row r="170" spans="1:3" x14ac:dyDescent="0.35">
      <c r="A170" s="47" t="s">
        <v>240</v>
      </c>
      <c r="B170" s="54">
        <v>-6450</v>
      </c>
      <c r="C170" s="54">
        <v>-3119</v>
      </c>
    </row>
    <row r="171" spans="1:3" x14ac:dyDescent="0.35">
      <c r="A171" s="47" t="s">
        <v>241</v>
      </c>
      <c r="B171" s="50">
        <v>58424</v>
      </c>
      <c r="C171" s="50">
        <v>57113</v>
      </c>
    </row>
    <row r="172" spans="1:3" x14ac:dyDescent="0.35">
      <c r="A172" s="47" t="s">
        <v>242</v>
      </c>
      <c r="B172" s="48">
        <v>9348</v>
      </c>
      <c r="C172" s="50">
        <v>16178</v>
      </c>
    </row>
    <row r="173" spans="1:3" x14ac:dyDescent="0.35">
      <c r="A173" s="47" t="s">
        <v>243</v>
      </c>
      <c r="B173" s="48">
        <v>9348</v>
      </c>
      <c r="C173" s="50">
        <v>16178</v>
      </c>
    </row>
    <row r="174" spans="1:3" x14ac:dyDescent="0.35">
      <c r="A174" s="47" t="s">
        <v>244</v>
      </c>
      <c r="B174" s="50">
        <v>67566</v>
      </c>
      <c r="C174" s="50">
        <v>65136</v>
      </c>
    </row>
    <row r="175" spans="1:3" x14ac:dyDescent="0.35">
      <c r="A175" s="47" t="s">
        <v>246</v>
      </c>
      <c r="B175" s="50">
        <v>125896</v>
      </c>
      <c r="C175" s="50">
        <v>130250</v>
      </c>
    </row>
    <row r="176" spans="1:3" x14ac:dyDescent="0.35">
      <c r="A176" s="47" t="s">
        <v>247</v>
      </c>
      <c r="B176" s="50">
        <v>125896</v>
      </c>
      <c r="C176" s="50">
        <v>130250</v>
      </c>
    </row>
    <row r="177" spans="1:3" x14ac:dyDescent="0.35">
      <c r="A177" s="47" t="s">
        <v>248</v>
      </c>
      <c r="B177" s="48">
        <v>4703</v>
      </c>
      <c r="C177" s="48">
        <v>2704</v>
      </c>
    </row>
    <row r="178" spans="1:3" x14ac:dyDescent="0.35">
      <c r="A178" s="47" t="s">
        <v>249</v>
      </c>
      <c r="B178" s="50">
        <v>67678</v>
      </c>
      <c r="C178" s="50">
        <v>81292</v>
      </c>
    </row>
    <row r="179" spans="1:3" x14ac:dyDescent="0.35">
      <c r="A179" s="47" t="s">
        <v>250</v>
      </c>
      <c r="B179" s="57">
        <v>-70778</v>
      </c>
      <c r="C179" s="57">
        <v>-48782</v>
      </c>
    </row>
    <row r="180" spans="1:3" x14ac:dyDescent="0.35">
      <c r="A180" s="47" t="s">
        <v>251</v>
      </c>
      <c r="B180" s="57">
        <v>-70778</v>
      </c>
      <c r="C180" s="57">
        <v>-48782</v>
      </c>
    </row>
    <row r="181" spans="1:3" x14ac:dyDescent="0.35">
      <c r="A181" s="47" t="s">
        <v>252</v>
      </c>
      <c r="B181" s="50">
        <v>135244</v>
      </c>
      <c r="C181" s="50">
        <v>146428</v>
      </c>
    </row>
    <row r="182" spans="1:3" x14ac:dyDescent="0.35">
      <c r="A182" s="47" t="s">
        <v>253</v>
      </c>
      <c r="B182" s="50">
        <v>135244</v>
      </c>
      <c r="C182" s="50">
        <v>146428</v>
      </c>
    </row>
    <row r="183" spans="1:3" x14ac:dyDescent="0.35">
      <c r="A183" s="47" t="s">
        <v>254</v>
      </c>
      <c r="B183" s="50">
        <v>148948</v>
      </c>
      <c r="C183" s="50">
        <v>152578</v>
      </c>
    </row>
    <row r="184" spans="1:3" x14ac:dyDescent="0.35">
      <c r="A184" s="47" t="s">
        <v>255</v>
      </c>
      <c r="B184" s="50">
        <v>48177</v>
      </c>
      <c r="C184" s="50">
        <v>41718</v>
      </c>
    </row>
    <row r="185" spans="1:3" x14ac:dyDescent="0.35">
      <c r="A185" s="47" t="s">
        <v>472</v>
      </c>
      <c r="B185" s="50">
        <v>14495</v>
      </c>
      <c r="C185" s="50">
        <v>13016</v>
      </c>
    </row>
    <row r="186" spans="1:3" x14ac:dyDescent="0.35">
      <c r="A186" s="47" t="s">
        <v>256</v>
      </c>
      <c r="B186" s="48">
        <v>2898</v>
      </c>
      <c r="C186" s="50">
        <v>13059</v>
      </c>
    </row>
    <row r="187" spans="1:3" x14ac:dyDescent="0.35">
      <c r="A187" s="47" t="s">
        <v>257</v>
      </c>
      <c r="B187" s="54">
        <v>-6450</v>
      </c>
      <c r="C187" s="54">
        <v>-3119</v>
      </c>
    </row>
    <row r="188" spans="1:3" x14ac:dyDescent="0.35">
      <c r="A188" s="47" t="s">
        <v>434</v>
      </c>
      <c r="B188" s="50">
        <v>13000</v>
      </c>
      <c r="C188" s="50">
        <v>23210</v>
      </c>
    </row>
    <row r="189" spans="1:3" x14ac:dyDescent="0.35">
      <c r="A189" s="47" t="s">
        <v>258</v>
      </c>
      <c r="B189" s="50">
        <v>67678</v>
      </c>
      <c r="C189" s="50">
        <v>81292</v>
      </c>
    </row>
    <row r="190" spans="1:3" x14ac:dyDescent="0.35">
      <c r="A190" s="45" t="s">
        <v>259</v>
      </c>
      <c r="B190" s="46"/>
      <c r="C190" s="46"/>
    </row>
    <row r="191" spans="1:3" x14ac:dyDescent="0.35">
      <c r="A191" s="47" t="s">
        <v>260</v>
      </c>
      <c r="B191" s="48">
        <v>1735</v>
      </c>
      <c r="C191" s="48">
        <v>2061</v>
      </c>
    </row>
    <row r="192" spans="1:3" x14ac:dyDescent="0.35">
      <c r="A192" s="45" t="s">
        <v>261</v>
      </c>
      <c r="B192" s="46"/>
      <c r="C192" s="46"/>
    </row>
    <row r="193" spans="1:3" x14ac:dyDescent="0.35">
      <c r="A193" s="47" t="s">
        <v>262</v>
      </c>
      <c r="B193" s="48">
        <v>1350</v>
      </c>
      <c r="C193" s="48">
        <v>1325</v>
      </c>
    </row>
    <row r="194" spans="1:3" x14ac:dyDescent="0.35">
      <c r="A194" s="49" t="s">
        <v>263</v>
      </c>
      <c r="B194" s="48">
        <v>268</v>
      </c>
      <c r="C194" s="48">
        <v>212</v>
      </c>
    </row>
    <row r="195" spans="1:3" x14ac:dyDescent="0.35">
      <c r="A195" s="49" t="s">
        <v>264</v>
      </c>
      <c r="B195" s="48">
        <v>194</v>
      </c>
      <c r="C195" s="48">
        <v>196</v>
      </c>
    </row>
    <row r="196" spans="1:3" x14ac:dyDescent="0.35">
      <c r="A196" s="49" t="s">
        <v>265</v>
      </c>
      <c r="B196" s="48">
        <v>171</v>
      </c>
      <c r="C196" s="48">
        <v>168</v>
      </c>
    </row>
    <row r="197" spans="1:3" x14ac:dyDescent="0.35">
      <c r="A197" s="49" t="s">
        <v>266</v>
      </c>
      <c r="B197" s="48">
        <v>144</v>
      </c>
      <c r="C197" s="48">
        <v>144</v>
      </c>
    </row>
    <row r="198" spans="1:3" x14ac:dyDescent="0.35">
      <c r="A198" s="49" t="s">
        <v>267</v>
      </c>
      <c r="B198" s="48">
        <v>124</v>
      </c>
      <c r="C198" s="48">
        <v>128</v>
      </c>
    </row>
    <row r="199" spans="1:3" x14ac:dyDescent="0.35">
      <c r="A199" s="49" t="s">
        <v>268</v>
      </c>
      <c r="B199" s="48">
        <v>894</v>
      </c>
      <c r="C199" s="48">
        <v>877</v>
      </c>
    </row>
    <row r="200" spans="1:3" x14ac:dyDescent="0.35">
      <c r="A200" s="49" t="s">
        <v>269</v>
      </c>
      <c r="B200" s="48">
        <v>445</v>
      </c>
      <c r="C200" s="48">
        <v>400</v>
      </c>
    </row>
    <row r="201" spans="1:3" x14ac:dyDescent="0.35">
      <c r="A201" s="47" t="s">
        <v>270</v>
      </c>
      <c r="B201" s="48">
        <v>365</v>
      </c>
      <c r="C201" s="48">
        <v>364</v>
      </c>
    </row>
    <row r="202" spans="1:3" x14ac:dyDescent="0.35">
      <c r="A202" s="47" t="s">
        <v>271</v>
      </c>
      <c r="B202" s="48">
        <v>268</v>
      </c>
      <c r="C202" s="48">
        <v>272</v>
      </c>
    </row>
    <row r="203" spans="1:3" x14ac:dyDescent="0.35">
      <c r="A203" s="47" t="s">
        <v>272</v>
      </c>
      <c r="B203" s="48">
        <v>894</v>
      </c>
      <c r="C203" s="48">
        <v>877</v>
      </c>
    </row>
    <row r="204" spans="1:3" x14ac:dyDescent="0.35">
      <c r="A204" s="45" t="s">
        <v>273</v>
      </c>
      <c r="B204" s="46"/>
      <c r="C204" s="46"/>
    </row>
    <row r="205" spans="1:3" x14ac:dyDescent="0.35">
      <c r="A205" s="47" t="s">
        <v>274</v>
      </c>
      <c r="B205" s="50">
        <v>37000</v>
      </c>
      <c r="C205" s="50">
        <v>33000</v>
      </c>
    </row>
    <row r="206" spans="1:3" x14ac:dyDescent="0.35">
      <c r="A206" s="47" t="s">
        <v>275</v>
      </c>
      <c r="B206" s="50">
        <v>37000</v>
      </c>
      <c r="C206" s="50">
        <v>33000</v>
      </c>
    </row>
    <row r="207" spans="1:3" x14ac:dyDescent="0.35">
      <c r="A207"/>
      <c r="B207"/>
      <c r="C207"/>
    </row>
    <row r="208" spans="1:3" x14ac:dyDescent="0.35">
      <c r="A208"/>
      <c r="B208"/>
      <c r="C208"/>
    </row>
    <row r="209" spans="1:3" x14ac:dyDescent="0.35">
      <c r="A209"/>
      <c r="B209"/>
      <c r="C209"/>
    </row>
    <row r="210" spans="1:3" x14ac:dyDescent="0.35">
      <c r="A210" s="39" t="s">
        <v>110</v>
      </c>
      <c r="B210" s="40" t="s">
        <v>111</v>
      </c>
      <c r="C210" s="40" t="s">
        <v>112</v>
      </c>
    </row>
    <row r="211" spans="1:3" x14ac:dyDescent="0.35">
      <c r="A211" s="41" t="s">
        <v>113</v>
      </c>
      <c r="B211" s="42">
        <v>45599</v>
      </c>
      <c r="C211" s="42">
        <v>45963</v>
      </c>
    </row>
    <row r="212" spans="1:3" x14ac:dyDescent="0.35">
      <c r="A212" s="41" t="s">
        <v>114</v>
      </c>
      <c r="B212" s="42" t="s">
        <v>115</v>
      </c>
      <c r="C212" s="42" t="s">
        <v>115</v>
      </c>
    </row>
    <row r="213" spans="1:3" x14ac:dyDescent="0.35">
      <c r="A213" s="43" t="s">
        <v>276</v>
      </c>
      <c r="B213" s="39"/>
      <c r="C213" s="39"/>
    </row>
    <row r="214" spans="1:3" x14ac:dyDescent="0.35">
      <c r="A214" s="43" t="s">
        <v>117</v>
      </c>
      <c r="B214" s="44" t="s">
        <v>584</v>
      </c>
      <c r="C214" s="44" t="s">
        <v>585</v>
      </c>
    </row>
    <row r="215" spans="1:3" x14ac:dyDescent="0.35">
      <c r="A215" s="45" t="s">
        <v>277</v>
      </c>
      <c r="B215" s="46"/>
      <c r="C215" s="46"/>
    </row>
    <row r="216" spans="1:3" x14ac:dyDescent="0.35">
      <c r="A216" s="47" t="s">
        <v>278</v>
      </c>
      <c r="B216" s="50">
        <v>51574</v>
      </c>
      <c r="C216" s="50">
        <v>63887</v>
      </c>
    </row>
    <row r="217" spans="1:3" x14ac:dyDescent="0.35">
      <c r="A217" s="49" t="s">
        <v>279</v>
      </c>
      <c r="B217" s="50">
        <v>51574</v>
      </c>
      <c r="C217" s="50">
        <v>63887</v>
      </c>
    </row>
    <row r="218" spans="1:3" x14ac:dyDescent="0.35">
      <c r="A218" s="52" t="s">
        <v>64</v>
      </c>
      <c r="B218" s="53">
        <v>51574</v>
      </c>
      <c r="C218" s="53">
        <v>63887</v>
      </c>
    </row>
    <row r="219" spans="1:3" x14ac:dyDescent="0.35">
      <c r="A219" s="45" t="s">
        <v>280</v>
      </c>
      <c r="B219" s="46"/>
      <c r="C219" s="46"/>
    </row>
    <row r="220" spans="1:3" x14ac:dyDescent="0.35">
      <c r="A220" s="47" t="s">
        <v>281</v>
      </c>
      <c r="B220" s="50">
        <v>22055</v>
      </c>
      <c r="C220" s="50">
        <v>22548</v>
      </c>
    </row>
    <row r="221" spans="1:3" x14ac:dyDescent="0.35">
      <c r="A221" s="49" t="s">
        <v>282</v>
      </c>
      <c r="B221" s="50">
        <v>22055</v>
      </c>
      <c r="C221" s="50">
        <v>22548</v>
      </c>
    </row>
    <row r="222" spans="1:3" x14ac:dyDescent="0.35">
      <c r="A222" s="49" t="s">
        <v>283</v>
      </c>
      <c r="B222" s="50">
        <v>12124</v>
      </c>
      <c r="C222" s="50">
        <v>13642</v>
      </c>
    </row>
    <row r="223" spans="1:3" x14ac:dyDescent="0.35">
      <c r="A223" s="49" t="s">
        <v>494</v>
      </c>
      <c r="B223" s="48">
        <v>9267</v>
      </c>
      <c r="C223" s="48">
        <v>8062</v>
      </c>
    </row>
    <row r="224" spans="1:3" x14ac:dyDescent="0.35">
      <c r="A224" s="49" t="s">
        <v>551</v>
      </c>
      <c r="B224" s="48">
        <v>664</v>
      </c>
      <c r="C224" s="48">
        <v>844</v>
      </c>
    </row>
    <row r="225" spans="1:3" x14ac:dyDescent="0.35">
      <c r="A225" s="52" t="s">
        <v>68</v>
      </c>
      <c r="B225" s="53">
        <v>29519</v>
      </c>
      <c r="C225" s="53">
        <v>41339</v>
      </c>
    </row>
    <row r="226" spans="1:3" x14ac:dyDescent="0.35">
      <c r="A226" s="47" t="s">
        <v>286</v>
      </c>
      <c r="B226" s="50">
        <v>14269</v>
      </c>
      <c r="C226" s="50">
        <v>15188</v>
      </c>
    </row>
    <row r="227" spans="1:3" x14ac:dyDescent="0.35">
      <c r="A227" s="49" t="s">
        <v>287</v>
      </c>
      <c r="B227" s="48">
        <v>3413</v>
      </c>
      <c r="C227" s="48">
        <v>2507</v>
      </c>
    </row>
    <row r="228" spans="1:3" x14ac:dyDescent="0.35">
      <c r="A228" s="49" t="s">
        <v>547</v>
      </c>
      <c r="B228" s="48">
        <v>1546</v>
      </c>
      <c r="C228" s="48">
        <v>1704</v>
      </c>
    </row>
    <row r="229" spans="1:3" x14ac:dyDescent="0.35">
      <c r="A229" s="49" t="s">
        <v>529</v>
      </c>
      <c r="B229" s="48">
        <v>9310</v>
      </c>
      <c r="C229" s="50">
        <v>10977</v>
      </c>
    </row>
    <row r="230" spans="1:3" x14ac:dyDescent="0.35">
      <c r="A230" s="47" t="s">
        <v>76</v>
      </c>
      <c r="B230" s="50">
        <v>36324</v>
      </c>
      <c r="C230" s="50">
        <v>37736</v>
      </c>
    </row>
    <row r="231" spans="1:3" x14ac:dyDescent="0.35">
      <c r="A231" s="45" t="s">
        <v>292</v>
      </c>
      <c r="B231" s="46"/>
      <c r="C231" s="46"/>
    </row>
    <row r="232" spans="1:3" x14ac:dyDescent="0.35">
      <c r="A232" s="52" t="s">
        <v>293</v>
      </c>
      <c r="B232" s="53">
        <v>15250</v>
      </c>
      <c r="C232" s="53">
        <v>26151</v>
      </c>
    </row>
    <row r="233" spans="1:3" x14ac:dyDescent="0.35">
      <c r="A233" s="45" t="s">
        <v>294</v>
      </c>
      <c r="B233" s="46"/>
      <c r="C233" s="46"/>
    </row>
    <row r="234" spans="1:3" x14ac:dyDescent="0.35">
      <c r="A234" s="47" t="s">
        <v>295</v>
      </c>
      <c r="B234" s="54">
        <v>-3504</v>
      </c>
      <c r="C234" s="54">
        <v>-2880</v>
      </c>
    </row>
    <row r="235" spans="1:3" x14ac:dyDescent="0.35">
      <c r="A235" s="49" t="s">
        <v>81</v>
      </c>
      <c r="B235" s="48">
        <v>3492</v>
      </c>
      <c r="C235" s="48">
        <v>2863</v>
      </c>
    </row>
    <row r="236" spans="1:3" x14ac:dyDescent="0.35">
      <c r="A236" s="49" t="s">
        <v>296</v>
      </c>
      <c r="B236" s="48">
        <v>461</v>
      </c>
      <c r="C236" s="48">
        <v>347</v>
      </c>
    </row>
    <row r="237" spans="1:3" x14ac:dyDescent="0.35">
      <c r="A237" s="49" t="s">
        <v>297</v>
      </c>
      <c r="B237" s="48">
        <v>3953</v>
      </c>
      <c r="C237" s="48">
        <v>3210</v>
      </c>
    </row>
    <row r="238" spans="1:3" x14ac:dyDescent="0.35">
      <c r="A238" s="49" t="s">
        <v>300</v>
      </c>
      <c r="B238" s="55">
        <v>-12</v>
      </c>
      <c r="C238" s="55">
        <v>-17</v>
      </c>
    </row>
    <row r="239" spans="1:3" x14ac:dyDescent="0.35">
      <c r="A239" s="49" t="s">
        <v>592</v>
      </c>
      <c r="B239" s="55">
        <v>-12</v>
      </c>
      <c r="C239" s="55">
        <v>-17</v>
      </c>
    </row>
    <row r="240" spans="1:3" x14ac:dyDescent="0.35">
      <c r="A240" s="47" t="s">
        <v>438</v>
      </c>
      <c r="B240" s="55">
        <v>-43</v>
      </c>
      <c r="C240" s="48">
        <v>125</v>
      </c>
    </row>
    <row r="241" spans="1:3" x14ac:dyDescent="0.35">
      <c r="A241" s="47" t="s">
        <v>304</v>
      </c>
      <c r="B241" s="50">
        <v>11703</v>
      </c>
      <c r="C241" s="50">
        <v>23396</v>
      </c>
    </row>
    <row r="242" spans="1:3" x14ac:dyDescent="0.35">
      <c r="A242" s="45" t="s">
        <v>305</v>
      </c>
      <c r="B242" s="46"/>
      <c r="C242" s="46"/>
    </row>
    <row r="243" spans="1:3" x14ac:dyDescent="0.35">
      <c r="A243" s="47" t="s">
        <v>306</v>
      </c>
      <c r="B243" s="54">
        <v>-1787</v>
      </c>
      <c r="C243" s="54">
        <v>-667</v>
      </c>
    </row>
    <row r="244" spans="1:3" x14ac:dyDescent="0.35">
      <c r="A244" s="49" t="s">
        <v>310</v>
      </c>
      <c r="B244" s="48">
        <v>1787</v>
      </c>
      <c r="C244" s="48">
        <v>667</v>
      </c>
    </row>
    <row r="245" spans="1:3" x14ac:dyDescent="0.35">
      <c r="A245" s="45" t="s">
        <v>313</v>
      </c>
      <c r="B245" s="46"/>
      <c r="C245" s="46"/>
    </row>
    <row r="246" spans="1:3" x14ac:dyDescent="0.35">
      <c r="A246" s="52" t="s">
        <v>83</v>
      </c>
      <c r="B246" s="58">
        <v>9916</v>
      </c>
      <c r="C246" s="53">
        <v>22729</v>
      </c>
    </row>
    <row r="247" spans="1:3" x14ac:dyDescent="0.35">
      <c r="A247" s="45" t="s">
        <v>314</v>
      </c>
      <c r="B247" s="46"/>
      <c r="C247" s="46"/>
    </row>
    <row r="248" spans="1:3" x14ac:dyDescent="0.35">
      <c r="A248" s="47" t="s">
        <v>84</v>
      </c>
      <c r="B248" s="48">
        <v>3748</v>
      </c>
      <c r="C248" s="54">
        <v>-397</v>
      </c>
    </row>
    <row r="249" spans="1:3" x14ac:dyDescent="0.35">
      <c r="A249" s="49" t="s">
        <v>315</v>
      </c>
      <c r="B249" s="48">
        <v>1783</v>
      </c>
      <c r="C249" s="48">
        <v>1636</v>
      </c>
    </row>
    <row r="250" spans="1:3" x14ac:dyDescent="0.35">
      <c r="A250" s="49" t="s">
        <v>316</v>
      </c>
      <c r="B250" s="48">
        <v>1082</v>
      </c>
      <c r="C250" s="48">
        <v>845</v>
      </c>
    </row>
    <row r="251" spans="1:3" x14ac:dyDescent="0.35">
      <c r="A251" s="49" t="s">
        <v>317</v>
      </c>
      <c r="B251" s="48">
        <v>701</v>
      </c>
      <c r="C251" s="48">
        <v>791</v>
      </c>
    </row>
    <row r="252" spans="1:3" x14ac:dyDescent="0.35">
      <c r="A252" s="49" t="s">
        <v>318</v>
      </c>
      <c r="B252" s="48">
        <v>1965</v>
      </c>
      <c r="C252" s="54">
        <v>-2033</v>
      </c>
    </row>
    <row r="253" spans="1:3" x14ac:dyDescent="0.35">
      <c r="A253" s="49" t="s">
        <v>319</v>
      </c>
      <c r="B253" s="48">
        <v>1785</v>
      </c>
      <c r="C253" s="54">
        <v>-2101</v>
      </c>
    </row>
    <row r="254" spans="1:3" x14ac:dyDescent="0.35">
      <c r="A254" s="49" t="s">
        <v>320</v>
      </c>
      <c r="B254" s="48">
        <v>180</v>
      </c>
      <c r="C254" s="51">
        <v>68</v>
      </c>
    </row>
    <row r="255" spans="1:3" x14ac:dyDescent="0.35">
      <c r="A255" s="45" t="s">
        <v>321</v>
      </c>
      <c r="B255" s="46"/>
      <c r="C255" s="46"/>
    </row>
    <row r="256" spans="1:3" x14ac:dyDescent="0.35">
      <c r="A256" s="47" t="s">
        <v>322</v>
      </c>
      <c r="B256" s="48">
        <v>6168</v>
      </c>
      <c r="C256" s="50">
        <v>23126</v>
      </c>
    </row>
    <row r="257" spans="1:3" x14ac:dyDescent="0.35">
      <c r="A257" s="45" t="s">
        <v>323</v>
      </c>
      <c r="B257" s="46"/>
      <c r="C257" s="46"/>
    </row>
    <row r="258" spans="1:3" x14ac:dyDescent="0.35">
      <c r="A258" s="52" t="s">
        <v>324</v>
      </c>
      <c r="B258" s="58">
        <v>6168</v>
      </c>
      <c r="C258" s="53">
        <v>23126</v>
      </c>
    </row>
    <row r="259" spans="1:3" x14ac:dyDescent="0.35">
      <c r="A259" s="47" t="s">
        <v>325</v>
      </c>
      <c r="B259" s="54">
        <v>-273</v>
      </c>
      <c r="C259" s="50">
        <v>0</v>
      </c>
    </row>
    <row r="260" spans="1:3" x14ac:dyDescent="0.35">
      <c r="A260" s="49" t="s">
        <v>593</v>
      </c>
      <c r="B260" s="54">
        <v>-273</v>
      </c>
      <c r="C260" s="50">
        <v>0</v>
      </c>
    </row>
    <row r="261" spans="1:3" x14ac:dyDescent="0.35">
      <c r="A261" s="49" t="s">
        <v>594</v>
      </c>
      <c r="B261" s="50"/>
      <c r="C261" s="50">
        <v>0</v>
      </c>
    </row>
    <row r="262" spans="1:3" x14ac:dyDescent="0.35">
      <c r="A262" s="49" t="s">
        <v>595</v>
      </c>
      <c r="B262" s="55">
        <v>-12</v>
      </c>
      <c r="C262" s="50"/>
    </row>
    <row r="263" spans="1:3" x14ac:dyDescent="0.35">
      <c r="A263" s="49" t="s">
        <v>596</v>
      </c>
      <c r="B263" s="55">
        <v>-12</v>
      </c>
      <c r="C263" s="50"/>
    </row>
    <row r="264" spans="1:3" x14ac:dyDescent="0.35">
      <c r="A264" s="49" t="s">
        <v>597</v>
      </c>
      <c r="B264" s="54">
        <v>-261</v>
      </c>
      <c r="C264" s="50"/>
    </row>
    <row r="265" spans="1:3" x14ac:dyDescent="0.35">
      <c r="A265" s="47" t="s">
        <v>327</v>
      </c>
      <c r="B265" s="48">
        <v>5895</v>
      </c>
      <c r="C265" s="50">
        <v>23126</v>
      </c>
    </row>
    <row r="266" spans="1:3" x14ac:dyDescent="0.35">
      <c r="A266" s="47" t="s">
        <v>85</v>
      </c>
      <c r="B266" s="48">
        <v>5895</v>
      </c>
      <c r="C266" s="50">
        <v>23126</v>
      </c>
    </row>
    <row r="267" spans="1:3" x14ac:dyDescent="0.35">
      <c r="A267" s="45" t="s">
        <v>328</v>
      </c>
      <c r="B267" s="46"/>
      <c r="C267" s="46"/>
    </row>
    <row r="268" spans="1:3" x14ac:dyDescent="0.35">
      <c r="A268" s="47" t="s">
        <v>598</v>
      </c>
      <c r="B268" s="50">
        <v>0</v>
      </c>
      <c r="C268" s="50"/>
    </row>
    <row r="269" spans="1:3" x14ac:dyDescent="0.35">
      <c r="A269" s="52" t="s">
        <v>330</v>
      </c>
      <c r="B269" s="58">
        <v>5895</v>
      </c>
      <c r="C269" s="53">
        <v>23126</v>
      </c>
    </row>
    <row r="270" spans="1:3" x14ac:dyDescent="0.35">
      <c r="A270" s="45" t="s">
        <v>331</v>
      </c>
      <c r="B270" s="46"/>
      <c r="C270" s="46"/>
    </row>
    <row r="271" spans="1:3" x14ac:dyDescent="0.35">
      <c r="A271" s="47" t="s">
        <v>332</v>
      </c>
      <c r="B271" s="48">
        <v>5895</v>
      </c>
      <c r="C271" s="50">
        <v>23126</v>
      </c>
    </row>
    <row r="272" spans="1:3" x14ac:dyDescent="0.35">
      <c r="A272" s="47" t="s">
        <v>334</v>
      </c>
      <c r="B272" s="55">
        <v>-1</v>
      </c>
      <c r="C272" s="55">
        <v>-4</v>
      </c>
    </row>
    <row r="273" spans="1:3" x14ac:dyDescent="0.35">
      <c r="A273" s="47" t="s">
        <v>599</v>
      </c>
      <c r="B273" s="51">
        <v>1</v>
      </c>
      <c r="C273" s="51">
        <v>15</v>
      </c>
    </row>
    <row r="274" spans="1:3" x14ac:dyDescent="0.35">
      <c r="A274" s="47" t="s">
        <v>338</v>
      </c>
      <c r="B274" s="50">
        <v>0</v>
      </c>
      <c r="C274" s="51">
        <v>11</v>
      </c>
    </row>
    <row r="275" spans="1:3" x14ac:dyDescent="0.35">
      <c r="A275" s="52" t="s">
        <v>339</v>
      </c>
      <c r="B275" s="58">
        <v>5895</v>
      </c>
      <c r="C275" s="53">
        <v>23137</v>
      </c>
    </row>
    <row r="276" spans="1:3" x14ac:dyDescent="0.35">
      <c r="A276" s="47" t="s">
        <v>340</v>
      </c>
      <c r="B276" s="48">
        <v>5895</v>
      </c>
      <c r="C276" s="50">
        <v>23137</v>
      </c>
    </row>
    <row r="277" spans="1:3" x14ac:dyDescent="0.35">
      <c r="A277" s="45" t="s">
        <v>341</v>
      </c>
      <c r="B277" s="46"/>
      <c r="C277" s="46"/>
    </row>
    <row r="278" spans="1:3" x14ac:dyDescent="0.35">
      <c r="A278" s="47" t="s">
        <v>342</v>
      </c>
      <c r="B278" s="48">
        <v>5895</v>
      </c>
      <c r="C278" s="50">
        <v>23126</v>
      </c>
    </row>
    <row r="279" spans="1:3" x14ac:dyDescent="0.35">
      <c r="A279" s="49" t="s">
        <v>343</v>
      </c>
      <c r="B279" s="48">
        <v>6168</v>
      </c>
      <c r="C279" s="50">
        <v>23126</v>
      </c>
    </row>
    <row r="280" spans="1:3" x14ac:dyDescent="0.35">
      <c r="A280" s="49" t="s">
        <v>344</v>
      </c>
      <c r="B280" s="48">
        <v>4624</v>
      </c>
      <c r="C280" s="48">
        <v>4712</v>
      </c>
    </row>
    <row r="281" spans="1:3" x14ac:dyDescent="0.35">
      <c r="A281" s="49" t="s">
        <v>345</v>
      </c>
      <c r="B281" s="51">
        <v>1.27</v>
      </c>
      <c r="C281" s="51">
        <v>4.91</v>
      </c>
    </row>
    <row r="282" spans="1:3" x14ac:dyDescent="0.35">
      <c r="A282" s="49" t="s">
        <v>346</v>
      </c>
      <c r="B282" s="51">
        <v>1.33</v>
      </c>
      <c r="C282" s="51">
        <v>4.91</v>
      </c>
    </row>
    <row r="283" spans="1:3" x14ac:dyDescent="0.35">
      <c r="A283" s="49" t="s">
        <v>347</v>
      </c>
      <c r="B283" s="51">
        <v>1.72</v>
      </c>
      <c r="C283" s="51">
        <v>5.05</v>
      </c>
    </row>
    <row r="284" spans="1:3" x14ac:dyDescent="0.35">
      <c r="A284" s="47" t="s">
        <v>348</v>
      </c>
      <c r="B284" s="48">
        <v>5895</v>
      </c>
      <c r="C284" s="50">
        <v>23126</v>
      </c>
    </row>
    <row r="285" spans="1:3" x14ac:dyDescent="0.35">
      <c r="A285" s="47" t="s">
        <v>349</v>
      </c>
      <c r="B285" s="51">
        <v>1</v>
      </c>
      <c r="C285" s="51">
        <v>1</v>
      </c>
    </row>
    <row r="286" spans="1:3" x14ac:dyDescent="0.35">
      <c r="A286" s="49" t="s">
        <v>350</v>
      </c>
      <c r="B286" s="48">
        <v>4624</v>
      </c>
      <c r="C286" s="48">
        <v>4712</v>
      </c>
    </row>
    <row r="287" spans="1:3" x14ac:dyDescent="0.35">
      <c r="A287" s="49" t="s">
        <v>351</v>
      </c>
      <c r="B287" s="51">
        <v>1.27</v>
      </c>
      <c r="C287" s="51">
        <v>4.91</v>
      </c>
    </row>
    <row r="288" spans="1:3" x14ac:dyDescent="0.35">
      <c r="A288" s="49" t="s">
        <v>352</v>
      </c>
      <c r="B288" s="51">
        <v>1.33</v>
      </c>
      <c r="C288" s="51">
        <v>4.91</v>
      </c>
    </row>
    <row r="289" spans="1:3" x14ac:dyDescent="0.35">
      <c r="A289" s="49" t="s">
        <v>353</v>
      </c>
      <c r="B289" s="51">
        <v>1.72</v>
      </c>
      <c r="C289" s="51">
        <v>5.05</v>
      </c>
    </row>
    <row r="290" spans="1:3" x14ac:dyDescent="0.35">
      <c r="A290" s="47" t="s">
        <v>354</v>
      </c>
      <c r="B290" s="55">
        <v>-0.06</v>
      </c>
      <c r="C290" s="50">
        <v>0</v>
      </c>
    </row>
    <row r="291" spans="1:3" x14ac:dyDescent="0.35">
      <c r="A291" s="47" t="s">
        <v>355</v>
      </c>
      <c r="B291" s="51">
        <v>1.27</v>
      </c>
      <c r="C291" s="51">
        <v>4.91</v>
      </c>
    </row>
    <row r="292" spans="1:3" x14ac:dyDescent="0.35">
      <c r="A292" s="45" t="s">
        <v>356</v>
      </c>
      <c r="B292" s="46"/>
      <c r="C292" s="46"/>
    </row>
    <row r="293" spans="1:3" x14ac:dyDescent="0.35">
      <c r="A293" s="47" t="s">
        <v>357</v>
      </c>
      <c r="B293" s="48">
        <v>5895</v>
      </c>
      <c r="C293" s="50">
        <v>23126</v>
      </c>
    </row>
    <row r="294" spans="1:3" x14ac:dyDescent="0.35">
      <c r="A294" s="49" t="s">
        <v>358</v>
      </c>
      <c r="B294" s="48">
        <v>6168</v>
      </c>
      <c r="C294" s="50">
        <v>23126</v>
      </c>
    </row>
    <row r="295" spans="1:3" x14ac:dyDescent="0.35">
      <c r="A295" s="49" t="s">
        <v>359</v>
      </c>
      <c r="B295" s="48">
        <v>4778</v>
      </c>
      <c r="C295" s="48">
        <v>4853</v>
      </c>
    </row>
    <row r="296" spans="1:3" x14ac:dyDescent="0.35">
      <c r="A296" s="49" t="s">
        <v>360</v>
      </c>
      <c r="B296" s="51">
        <v>1.23</v>
      </c>
      <c r="C296" s="51">
        <v>4.7699999999999996</v>
      </c>
    </row>
    <row r="297" spans="1:3" x14ac:dyDescent="0.35">
      <c r="A297" s="49" t="s">
        <v>361</v>
      </c>
      <c r="B297" s="51">
        <v>1.29</v>
      </c>
      <c r="C297" s="51">
        <v>4.7699999999999996</v>
      </c>
    </row>
    <row r="298" spans="1:3" x14ac:dyDescent="0.35">
      <c r="A298" s="49" t="s">
        <v>362</v>
      </c>
      <c r="B298" s="51">
        <v>1.66</v>
      </c>
      <c r="C298" s="51">
        <v>4.9000000000000004</v>
      </c>
    </row>
    <row r="299" spans="1:3" x14ac:dyDescent="0.35">
      <c r="A299" s="47" t="s">
        <v>363</v>
      </c>
      <c r="B299" s="48">
        <v>5895</v>
      </c>
      <c r="C299" s="50">
        <v>23126</v>
      </c>
    </row>
    <row r="300" spans="1:3" x14ac:dyDescent="0.35">
      <c r="A300" s="47" t="s">
        <v>364</v>
      </c>
      <c r="B300" s="51">
        <v>1</v>
      </c>
      <c r="C300" s="51">
        <v>1</v>
      </c>
    </row>
    <row r="301" spans="1:3" x14ac:dyDescent="0.35">
      <c r="A301" s="49" t="s">
        <v>365</v>
      </c>
      <c r="B301" s="48">
        <v>4778</v>
      </c>
      <c r="C301" s="48">
        <v>4853</v>
      </c>
    </row>
    <row r="302" spans="1:3" x14ac:dyDescent="0.35">
      <c r="A302" s="49" t="s">
        <v>366</v>
      </c>
      <c r="B302" s="51">
        <v>1.23</v>
      </c>
      <c r="C302" s="51">
        <v>4.7699999999999996</v>
      </c>
    </row>
    <row r="303" spans="1:3" x14ac:dyDescent="0.35">
      <c r="A303" s="49" t="s">
        <v>367</v>
      </c>
      <c r="B303" s="51">
        <v>1.29</v>
      </c>
      <c r="C303" s="51">
        <v>4.7699999999999996</v>
      </c>
    </row>
    <row r="304" spans="1:3" x14ac:dyDescent="0.35">
      <c r="A304" s="49" t="s">
        <v>368</v>
      </c>
      <c r="B304" s="51">
        <v>1.66</v>
      </c>
      <c r="C304" s="51">
        <v>4.9000000000000004</v>
      </c>
    </row>
    <row r="305" spans="1:3" x14ac:dyDescent="0.35">
      <c r="A305" s="47" t="s">
        <v>369</v>
      </c>
      <c r="B305" s="55">
        <v>-0.06</v>
      </c>
      <c r="C305" s="50">
        <v>0</v>
      </c>
    </row>
    <row r="306" spans="1:3" x14ac:dyDescent="0.35">
      <c r="A306" s="47" t="s">
        <v>370</v>
      </c>
      <c r="B306" s="51">
        <v>1.23</v>
      </c>
      <c r="C306" s="51">
        <v>4.7699999999999996</v>
      </c>
    </row>
    <row r="307" spans="1:3" x14ac:dyDescent="0.35">
      <c r="A307" s="45" t="s">
        <v>371</v>
      </c>
      <c r="B307" s="46"/>
      <c r="C307" s="46"/>
    </row>
    <row r="308" spans="1:3" x14ac:dyDescent="0.35">
      <c r="A308" s="47" t="s">
        <v>372</v>
      </c>
      <c r="B308" s="51">
        <v>2.11</v>
      </c>
      <c r="C308" s="51">
        <v>2.36</v>
      </c>
    </row>
    <row r="309" spans="1:3" x14ac:dyDescent="0.35">
      <c r="A309" s="47" t="s">
        <v>373</v>
      </c>
      <c r="B309" s="51">
        <v>2.11</v>
      </c>
      <c r="C309" s="51">
        <v>2.36</v>
      </c>
    </row>
    <row r="310" spans="1:3" x14ac:dyDescent="0.35">
      <c r="A310" s="45" t="s">
        <v>374</v>
      </c>
      <c r="B310" s="46"/>
      <c r="C310" s="46"/>
    </row>
    <row r="311" spans="1:3" x14ac:dyDescent="0.35">
      <c r="A311" s="47" t="s">
        <v>78</v>
      </c>
      <c r="B311" s="50">
        <v>15250</v>
      </c>
      <c r="C311" s="50">
        <v>26151</v>
      </c>
    </row>
    <row r="312" spans="1:3" x14ac:dyDescent="0.35">
      <c r="A312" s="47" t="s">
        <v>80</v>
      </c>
      <c r="B312" s="50">
        <v>25260</v>
      </c>
      <c r="C312" s="50">
        <v>34926</v>
      </c>
    </row>
    <row r="313" spans="1:3" x14ac:dyDescent="0.35">
      <c r="A313" s="47" t="s">
        <v>376</v>
      </c>
      <c r="B313" s="50">
        <v>25447</v>
      </c>
      <c r="C313" s="50">
        <v>35108</v>
      </c>
    </row>
    <row r="314" spans="1:3" x14ac:dyDescent="0.35">
      <c r="A314" s="45" t="s">
        <v>377</v>
      </c>
      <c r="B314" s="46"/>
      <c r="C314" s="46"/>
    </row>
    <row r="315" spans="1:3" x14ac:dyDescent="0.35">
      <c r="A315" s="47" t="s">
        <v>378</v>
      </c>
      <c r="B315" s="48">
        <v>3837</v>
      </c>
      <c r="C315" s="48">
        <v>2605</v>
      </c>
    </row>
    <row r="316" spans="1:3" x14ac:dyDescent="0.35">
      <c r="A316" s="49" t="s">
        <v>379</v>
      </c>
      <c r="B316" s="48">
        <v>593</v>
      </c>
      <c r="C316" s="48">
        <v>574</v>
      </c>
    </row>
    <row r="317" spans="1:3" x14ac:dyDescent="0.35">
      <c r="A317" s="49" t="s">
        <v>477</v>
      </c>
      <c r="B317" s="48">
        <v>3244</v>
      </c>
      <c r="C317" s="48">
        <v>2031</v>
      </c>
    </row>
    <row r="318" spans="1:3" x14ac:dyDescent="0.35">
      <c r="A318" s="49" t="s">
        <v>497</v>
      </c>
      <c r="B318" s="48">
        <v>3244</v>
      </c>
      <c r="C318" s="48">
        <v>2031</v>
      </c>
    </row>
    <row r="319" spans="1:3" x14ac:dyDescent="0.35">
      <c r="A319" s="45" t="s">
        <v>381</v>
      </c>
      <c r="B319" s="46"/>
      <c r="C319" s="46"/>
    </row>
    <row r="320" spans="1:3" x14ac:dyDescent="0.35">
      <c r="A320" s="47" t="s">
        <v>79</v>
      </c>
      <c r="B320" s="50">
        <v>10010</v>
      </c>
      <c r="C320" s="48">
        <v>8775</v>
      </c>
    </row>
    <row r="321" spans="1:3" x14ac:dyDescent="0.35">
      <c r="A321" s="49" t="s">
        <v>382</v>
      </c>
      <c r="B321" s="48">
        <v>593</v>
      </c>
      <c r="C321" s="48">
        <v>574</v>
      </c>
    </row>
    <row r="322" spans="1:3" x14ac:dyDescent="0.35">
      <c r="A322" s="49" t="s">
        <v>498</v>
      </c>
      <c r="B322" s="48">
        <v>9417</v>
      </c>
      <c r="C322" s="48">
        <v>8201</v>
      </c>
    </row>
    <row r="323" spans="1:3" x14ac:dyDescent="0.35">
      <c r="A323" s="45" t="s">
        <v>383</v>
      </c>
      <c r="B323" s="46"/>
      <c r="C323" s="46"/>
    </row>
    <row r="324" spans="1:3" x14ac:dyDescent="0.35">
      <c r="A324" s="47" t="s">
        <v>384</v>
      </c>
      <c r="B324" s="48">
        <v>9310</v>
      </c>
      <c r="C324" s="50">
        <v>10977</v>
      </c>
    </row>
    <row r="325" spans="1:3" x14ac:dyDescent="0.35">
      <c r="A325" s="49" t="s">
        <v>72</v>
      </c>
      <c r="B325" s="48">
        <v>9310</v>
      </c>
      <c r="C325" s="50">
        <v>10977</v>
      </c>
    </row>
    <row r="326" spans="1:3" x14ac:dyDescent="0.35">
      <c r="A326" s="45" t="s">
        <v>385</v>
      </c>
      <c r="B326" s="46"/>
      <c r="C326" s="46"/>
    </row>
    <row r="327" spans="1:3" x14ac:dyDescent="0.35">
      <c r="A327" s="47" t="s">
        <v>386</v>
      </c>
      <c r="B327" s="50"/>
      <c r="C327" s="50"/>
    </row>
    <row r="328" spans="1:3" x14ac:dyDescent="0.35">
      <c r="A328" s="49" t="s">
        <v>387</v>
      </c>
      <c r="B328" s="48">
        <v>4479.3</v>
      </c>
      <c r="C328" s="48">
        <v>5978.72</v>
      </c>
    </row>
    <row r="329" spans="1:3" x14ac:dyDescent="0.35">
      <c r="A329" s="49" t="s">
        <v>388</v>
      </c>
      <c r="B329" s="48">
        <v>5670</v>
      </c>
      <c r="C329" s="48">
        <v>7568</v>
      </c>
    </row>
    <row r="330" spans="1:3" x14ac:dyDescent="0.35">
      <c r="A330" s="49" t="s">
        <v>389</v>
      </c>
      <c r="B330" s="48">
        <v>1190.7</v>
      </c>
      <c r="C330" s="48">
        <v>1589.28</v>
      </c>
    </row>
    <row r="331" spans="1:3" x14ac:dyDescent="0.35">
      <c r="A331" s="45" t="s">
        <v>390</v>
      </c>
      <c r="B331" s="46"/>
      <c r="C331" s="46"/>
    </row>
    <row r="332" spans="1:3" x14ac:dyDescent="0.35">
      <c r="A332" s="47" t="s">
        <v>390</v>
      </c>
      <c r="B332" s="50"/>
      <c r="C332" s="51">
        <v>20.100000000000001</v>
      </c>
    </row>
    <row r="333" spans="1:3" x14ac:dyDescent="0.35">
      <c r="A333" s="49" t="s">
        <v>391</v>
      </c>
      <c r="B333" s="50"/>
      <c r="C333" s="51">
        <v>18.09</v>
      </c>
    </row>
    <row r="334" spans="1:3" x14ac:dyDescent="0.35">
      <c r="A334" s="49" t="s">
        <v>392</v>
      </c>
      <c r="B334" s="50"/>
      <c r="C334" s="51">
        <v>1.99</v>
      </c>
    </row>
    <row r="335" spans="1:3" x14ac:dyDescent="0.35">
      <c r="A335" s="49" t="s">
        <v>444</v>
      </c>
      <c r="B335" s="50"/>
      <c r="C335" s="51">
        <v>0.01</v>
      </c>
    </row>
    <row r="336" spans="1:3" x14ac:dyDescent="0.35">
      <c r="A336" s="45" t="s">
        <v>393</v>
      </c>
      <c r="B336" s="46"/>
      <c r="C336" s="46"/>
    </row>
    <row r="337" spans="1:3" x14ac:dyDescent="0.35">
      <c r="A337" s="47" t="s">
        <v>394</v>
      </c>
      <c r="B337" s="48">
        <v>7955</v>
      </c>
      <c r="C337" s="50">
        <v>23793</v>
      </c>
    </row>
    <row r="338" spans="1:3" x14ac:dyDescent="0.35">
      <c r="A338" s="47" t="s">
        <v>395</v>
      </c>
      <c r="B338" s="48">
        <v>7955</v>
      </c>
      <c r="C338" s="50">
        <v>23793</v>
      </c>
    </row>
    <row r="339" spans="1:3" x14ac:dyDescent="0.35">
      <c r="A339" s="47" t="s">
        <v>396</v>
      </c>
      <c r="B339" s="48">
        <v>7955</v>
      </c>
      <c r="C339" s="50">
        <v>23793</v>
      </c>
    </row>
    <row r="340" spans="1:3" x14ac:dyDescent="0.35">
      <c r="A340" s="47" t="s">
        <v>397</v>
      </c>
      <c r="B340" s="50">
        <v>15195</v>
      </c>
      <c r="C340" s="50">
        <v>26259</v>
      </c>
    </row>
    <row r="341" spans="1:3" x14ac:dyDescent="0.35">
      <c r="A341" s="47" t="s">
        <v>398</v>
      </c>
      <c r="B341" s="50">
        <v>25205</v>
      </c>
      <c r="C341" s="50">
        <v>35034</v>
      </c>
    </row>
    <row r="342" spans="1:3" x14ac:dyDescent="0.35">
      <c r="A342" s="45" t="s">
        <v>399</v>
      </c>
      <c r="B342" s="46"/>
      <c r="C342" s="46"/>
    </row>
    <row r="343" spans="1:3" x14ac:dyDescent="0.35">
      <c r="A343" s="47" t="s">
        <v>400</v>
      </c>
      <c r="B343" s="50"/>
      <c r="C343" s="50"/>
    </row>
    <row r="344" spans="1:3" x14ac:dyDescent="0.35">
      <c r="A344" s="49" t="s">
        <v>401</v>
      </c>
      <c r="B344" s="48">
        <v>187</v>
      </c>
      <c r="C344" s="50"/>
    </row>
    <row r="345" spans="1:3" x14ac:dyDescent="0.35">
      <c r="A345" s="49" t="s">
        <v>403</v>
      </c>
      <c r="B345" s="51">
        <v>27</v>
      </c>
      <c r="C345" s="50"/>
    </row>
    <row r="346" spans="1:3" x14ac:dyDescent="0.35">
      <c r="A346" s="45" t="s">
        <v>82</v>
      </c>
      <c r="B346" s="46"/>
      <c r="C346" s="46"/>
    </row>
    <row r="347" spans="1:3" x14ac:dyDescent="0.35">
      <c r="A347" s="47" t="s">
        <v>405</v>
      </c>
      <c r="B347" s="48">
        <v>187</v>
      </c>
      <c r="C347" s="48">
        <v>182</v>
      </c>
    </row>
    <row r="348" spans="1:3" x14ac:dyDescent="0.35">
      <c r="A348" s="47" t="s">
        <v>406</v>
      </c>
      <c r="B348" s="50">
        <v>22055</v>
      </c>
      <c r="C348" s="50">
        <v>22548</v>
      </c>
    </row>
    <row r="349" spans="1:3" x14ac:dyDescent="0.35">
      <c r="A349" s="47" t="s">
        <v>407</v>
      </c>
      <c r="B349" s="50">
        <v>12788</v>
      </c>
      <c r="C349" s="50">
        <v>14486</v>
      </c>
    </row>
    <row r="350" spans="1:3" x14ac:dyDescent="0.35">
      <c r="A350" s="47" t="s">
        <v>408</v>
      </c>
      <c r="B350" s="48">
        <v>3953</v>
      </c>
      <c r="C350" s="48">
        <v>3210</v>
      </c>
    </row>
    <row r="351" spans="1:3" x14ac:dyDescent="0.35">
      <c r="A351" s="47" t="s">
        <v>280</v>
      </c>
      <c r="B351" s="50">
        <v>36324</v>
      </c>
      <c r="C351" s="50">
        <v>37736</v>
      </c>
    </row>
    <row r="352" spans="1:3" x14ac:dyDescent="0.35">
      <c r="A352" s="47" t="s">
        <v>70</v>
      </c>
      <c r="B352" s="48">
        <v>4959</v>
      </c>
      <c r="C352" s="48">
        <v>4211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55"/>
  <sheetViews>
    <sheetView workbookViewId="0"/>
  </sheetViews>
  <sheetFormatPr defaultRowHeight="14.5" x14ac:dyDescent="0.35"/>
  <cols>
    <col min="1" max="1" width="45.6328125" customWidth="1"/>
    <col min="2" max="3" width="20.6328125" customWidth="1"/>
  </cols>
  <sheetData>
    <row r="1" spans="1:3" x14ac:dyDescent="0.35">
      <c r="A1" s="93" t="s">
        <v>94</v>
      </c>
      <c r="B1" s="94"/>
      <c r="C1" s="94"/>
    </row>
    <row r="2" spans="1:3" x14ac:dyDescent="0.35">
      <c r="A2" s="95" t="s">
        <v>95</v>
      </c>
      <c r="B2" s="96" t="s">
        <v>600</v>
      </c>
    </row>
    <row r="3" spans="1:3" x14ac:dyDescent="0.35">
      <c r="A3" s="95" t="s">
        <v>97</v>
      </c>
      <c r="B3" s="95" t="s">
        <v>98</v>
      </c>
    </row>
    <row r="4" spans="1:3" x14ac:dyDescent="0.35">
      <c r="A4" s="95" t="s">
        <v>99</v>
      </c>
      <c r="B4" s="95" t="s">
        <v>98</v>
      </c>
    </row>
    <row r="5" spans="1:3" x14ac:dyDescent="0.35">
      <c r="A5" s="95" t="s">
        <v>100</v>
      </c>
      <c r="B5" s="95" t="s">
        <v>564</v>
      </c>
    </row>
    <row r="6" spans="1:3" x14ac:dyDescent="0.35">
      <c r="A6" s="95" t="s">
        <v>101</v>
      </c>
      <c r="B6" s="95" t="s">
        <v>102</v>
      </c>
    </row>
    <row r="7" spans="1:3" x14ac:dyDescent="0.35">
      <c r="A7" s="95" t="s">
        <v>103</v>
      </c>
      <c r="B7" s="95" t="s">
        <v>104</v>
      </c>
    </row>
    <row r="8" spans="1:3" x14ac:dyDescent="0.35">
      <c r="A8" s="95" t="s">
        <v>105</v>
      </c>
      <c r="B8" s="95" t="s">
        <v>106</v>
      </c>
    </row>
    <row r="9" spans="1:3" x14ac:dyDescent="0.35">
      <c r="A9" s="95" t="s">
        <v>107</v>
      </c>
      <c r="B9" s="95" t="s">
        <v>108</v>
      </c>
    </row>
    <row r="10" spans="1:3" x14ac:dyDescent="0.35">
      <c r="A10" s="95" t="s">
        <v>109</v>
      </c>
      <c r="B10" s="97">
        <v>46296.623527407399</v>
      </c>
    </row>
    <row r="11" spans="1:3" x14ac:dyDescent="0.35">
      <c r="A11" s="98" t="s">
        <v>110</v>
      </c>
      <c r="B11" s="99" t="s">
        <v>111</v>
      </c>
      <c r="C11" s="99" t="s">
        <v>112</v>
      </c>
    </row>
    <row r="12" spans="1:3" x14ac:dyDescent="0.35">
      <c r="A12" s="100" t="s">
        <v>113</v>
      </c>
      <c r="B12" s="101">
        <v>45533</v>
      </c>
      <c r="C12" s="101">
        <v>45897</v>
      </c>
    </row>
    <row r="13" spans="1:3" x14ac:dyDescent="0.35">
      <c r="A13" s="100" t="s">
        <v>114</v>
      </c>
      <c r="B13" s="101" t="s">
        <v>115</v>
      </c>
      <c r="C13" s="101" t="s">
        <v>115</v>
      </c>
    </row>
    <row r="14" spans="1:3" x14ac:dyDescent="0.35">
      <c r="A14" s="102" t="s">
        <v>116</v>
      </c>
      <c r="B14" s="98"/>
      <c r="C14" s="98"/>
    </row>
    <row r="15" spans="1:3" x14ac:dyDescent="0.35">
      <c r="A15" s="102" t="s">
        <v>117</v>
      </c>
      <c r="B15" s="103" t="s">
        <v>601</v>
      </c>
      <c r="C15" s="103" t="s">
        <v>602</v>
      </c>
    </row>
    <row r="16" spans="1:3" x14ac:dyDescent="0.35">
      <c r="A16" s="104" t="s">
        <v>120</v>
      </c>
      <c r="B16" s="105"/>
      <c r="C16" s="105"/>
    </row>
    <row r="17" spans="1:3" x14ac:dyDescent="0.35">
      <c r="A17" s="106" t="s">
        <v>121</v>
      </c>
      <c r="B17" s="107">
        <v>8106</v>
      </c>
      <c r="C17" s="109">
        <v>10307</v>
      </c>
    </row>
    <row r="18" spans="1:3" x14ac:dyDescent="0.35">
      <c r="A18" s="108" t="s">
        <v>12</v>
      </c>
      <c r="B18" s="107">
        <v>7041</v>
      </c>
      <c r="C18" s="107">
        <v>9642</v>
      </c>
    </row>
    <row r="19" spans="1:3" x14ac:dyDescent="0.35">
      <c r="A19" s="108" t="s">
        <v>14</v>
      </c>
      <c r="B19" s="107">
        <v>1065</v>
      </c>
      <c r="C19" s="107">
        <v>665</v>
      </c>
    </row>
    <row r="20" spans="1:3" x14ac:dyDescent="0.35">
      <c r="A20" s="106" t="s">
        <v>122</v>
      </c>
      <c r="B20" s="107">
        <v>6615</v>
      </c>
      <c r="C20" s="107">
        <v>9265</v>
      </c>
    </row>
    <row r="21" spans="1:3" x14ac:dyDescent="0.35">
      <c r="A21" s="108" t="s">
        <v>16</v>
      </c>
      <c r="B21" s="107">
        <v>5419</v>
      </c>
      <c r="C21" s="107">
        <v>7163</v>
      </c>
    </row>
    <row r="22" spans="1:3" x14ac:dyDescent="0.35">
      <c r="A22" s="108" t="s">
        <v>454</v>
      </c>
      <c r="B22" s="107">
        <v>268</v>
      </c>
      <c r="C22" s="107">
        <v>436</v>
      </c>
    </row>
    <row r="23" spans="1:3" x14ac:dyDescent="0.35">
      <c r="A23" s="108" t="s">
        <v>455</v>
      </c>
      <c r="B23" s="107">
        <v>928</v>
      </c>
      <c r="C23" s="107">
        <v>1666</v>
      </c>
    </row>
    <row r="24" spans="1:3" x14ac:dyDescent="0.35">
      <c r="A24" s="106" t="s">
        <v>18</v>
      </c>
      <c r="B24" s="107">
        <v>8875</v>
      </c>
      <c r="C24" s="107">
        <v>8355</v>
      </c>
    </row>
    <row r="25" spans="1:3" x14ac:dyDescent="0.35">
      <c r="A25" s="108" t="s">
        <v>125</v>
      </c>
      <c r="B25" s="107">
        <v>793</v>
      </c>
      <c r="C25" s="107">
        <v>860</v>
      </c>
    </row>
    <row r="26" spans="1:3" x14ac:dyDescent="0.35">
      <c r="A26" s="108" t="s">
        <v>499</v>
      </c>
      <c r="B26" s="107">
        <v>6774</v>
      </c>
      <c r="C26" s="107">
        <v>6401</v>
      </c>
    </row>
    <row r="27" spans="1:3" x14ac:dyDescent="0.35">
      <c r="A27" s="108" t="s">
        <v>126</v>
      </c>
      <c r="B27" s="107">
        <v>1308</v>
      </c>
      <c r="C27" s="107">
        <v>1094</v>
      </c>
    </row>
    <row r="28" spans="1:3" x14ac:dyDescent="0.35">
      <c r="A28" s="106" t="s">
        <v>410</v>
      </c>
      <c r="B28" s="107">
        <v>776</v>
      </c>
      <c r="C28" s="107">
        <v>914</v>
      </c>
    </row>
    <row r="29" spans="1:3" x14ac:dyDescent="0.35">
      <c r="A29" s="108" t="s">
        <v>411</v>
      </c>
      <c r="B29" s="109"/>
      <c r="C29" s="110">
        <v>4</v>
      </c>
    </row>
    <row r="30" spans="1:3" x14ac:dyDescent="0.35">
      <c r="A30" s="108" t="s">
        <v>20</v>
      </c>
      <c r="B30" s="107">
        <v>776</v>
      </c>
      <c r="C30" s="107">
        <v>910</v>
      </c>
    </row>
    <row r="31" spans="1:3" x14ac:dyDescent="0.35">
      <c r="A31" s="111" t="s">
        <v>22</v>
      </c>
      <c r="B31" s="112">
        <v>24372</v>
      </c>
      <c r="C31" s="112">
        <v>28841</v>
      </c>
    </row>
    <row r="32" spans="1:3" x14ac:dyDescent="0.35">
      <c r="A32" s="104" t="s">
        <v>128</v>
      </c>
      <c r="B32" s="105"/>
      <c r="C32" s="105"/>
    </row>
    <row r="33" spans="1:3" x14ac:dyDescent="0.35">
      <c r="A33" s="106" t="s">
        <v>25</v>
      </c>
      <c r="B33" s="107">
        <v>1046</v>
      </c>
      <c r="C33" s="107">
        <v>1629</v>
      </c>
    </row>
    <row r="34" spans="1:3" ht="26" x14ac:dyDescent="0.35">
      <c r="A34" s="108" t="s">
        <v>129</v>
      </c>
      <c r="B34" s="107">
        <v>1046</v>
      </c>
      <c r="C34" s="107">
        <v>1629</v>
      </c>
    </row>
    <row r="35" spans="1:3" ht="26" x14ac:dyDescent="0.35">
      <c r="A35" s="106" t="s">
        <v>130</v>
      </c>
      <c r="B35" s="107">
        <v>190</v>
      </c>
      <c r="C35" s="107">
        <v>194</v>
      </c>
    </row>
    <row r="36" spans="1:3" x14ac:dyDescent="0.35">
      <c r="A36" s="106" t="s">
        <v>27</v>
      </c>
      <c r="B36" s="109">
        <v>40394</v>
      </c>
      <c r="C36" s="109">
        <v>47326</v>
      </c>
    </row>
    <row r="37" spans="1:3" ht="26" x14ac:dyDescent="0.35">
      <c r="A37" s="108" t="s">
        <v>133</v>
      </c>
      <c r="B37" s="109">
        <v>40394</v>
      </c>
      <c r="C37" s="109">
        <v>47326</v>
      </c>
    </row>
    <row r="38" spans="1:3" x14ac:dyDescent="0.35">
      <c r="A38" s="108" t="s">
        <v>134</v>
      </c>
      <c r="B38" s="109">
        <v>96692</v>
      </c>
      <c r="C38" s="109">
        <v>110432</v>
      </c>
    </row>
    <row r="39" spans="1:3" ht="26" x14ac:dyDescent="0.35">
      <c r="A39" s="108" t="s">
        <v>135</v>
      </c>
      <c r="B39" s="109">
        <v>96692</v>
      </c>
      <c r="C39" s="109">
        <v>110432</v>
      </c>
    </row>
    <row r="40" spans="1:3" x14ac:dyDescent="0.35">
      <c r="A40" s="108" t="s">
        <v>458</v>
      </c>
      <c r="B40" s="109">
        <v>20425</v>
      </c>
      <c r="C40" s="109">
        <v>22593</v>
      </c>
    </row>
    <row r="41" spans="1:3" x14ac:dyDescent="0.35">
      <c r="A41" s="108" t="s">
        <v>459</v>
      </c>
      <c r="B41" s="107">
        <v>284</v>
      </c>
      <c r="C41" s="107">
        <v>420</v>
      </c>
    </row>
    <row r="42" spans="1:3" x14ac:dyDescent="0.35">
      <c r="A42" s="108" t="s">
        <v>460</v>
      </c>
      <c r="B42" s="109">
        <v>20141</v>
      </c>
      <c r="C42" s="109">
        <v>22173</v>
      </c>
    </row>
    <row r="43" spans="1:3" x14ac:dyDescent="0.35">
      <c r="A43" s="108" t="s">
        <v>447</v>
      </c>
      <c r="B43" s="109">
        <v>72178</v>
      </c>
      <c r="C43" s="109">
        <v>81585</v>
      </c>
    </row>
    <row r="44" spans="1:3" x14ac:dyDescent="0.35">
      <c r="A44" s="108" t="s">
        <v>543</v>
      </c>
      <c r="B44" s="107">
        <v>1365</v>
      </c>
      <c r="C44" s="107">
        <v>1651</v>
      </c>
    </row>
    <row r="45" spans="1:3" x14ac:dyDescent="0.35">
      <c r="A45" s="108" t="s">
        <v>462</v>
      </c>
      <c r="B45" s="107">
        <v>3444</v>
      </c>
      <c r="C45" s="107">
        <v>5518</v>
      </c>
    </row>
    <row r="46" spans="1:3" x14ac:dyDescent="0.35">
      <c r="A46" s="108" t="s">
        <v>136</v>
      </c>
      <c r="B46" s="107">
        <v>645</v>
      </c>
      <c r="C46" s="107">
        <v>736</v>
      </c>
    </row>
    <row r="47" spans="1:3" x14ac:dyDescent="0.35">
      <c r="A47" s="108" t="s">
        <v>137</v>
      </c>
      <c r="B47" s="107">
        <v>645</v>
      </c>
      <c r="C47" s="107">
        <v>736</v>
      </c>
    </row>
    <row r="48" spans="1:3" ht="26" x14ac:dyDescent="0.35">
      <c r="A48" s="108" t="s">
        <v>139</v>
      </c>
      <c r="B48" s="109">
        <v>56298</v>
      </c>
      <c r="C48" s="109">
        <v>63106</v>
      </c>
    </row>
    <row r="49" spans="1:3" ht="26" x14ac:dyDescent="0.35">
      <c r="A49" s="108" t="s">
        <v>140</v>
      </c>
      <c r="B49" s="109">
        <v>56298</v>
      </c>
      <c r="C49" s="109">
        <v>63106</v>
      </c>
    </row>
    <row r="50" spans="1:3" x14ac:dyDescent="0.35">
      <c r="A50" s="106" t="s">
        <v>141</v>
      </c>
      <c r="B50" s="107">
        <v>1848</v>
      </c>
      <c r="C50" s="107">
        <v>3205</v>
      </c>
    </row>
    <row r="51" spans="1:3" x14ac:dyDescent="0.35">
      <c r="A51" s="108" t="s">
        <v>142</v>
      </c>
      <c r="B51" s="110">
        <v>11</v>
      </c>
      <c r="C51" s="109"/>
    </row>
    <row r="52" spans="1:3" x14ac:dyDescent="0.35">
      <c r="A52" s="108" t="s">
        <v>419</v>
      </c>
      <c r="B52" s="107">
        <v>520</v>
      </c>
      <c r="C52" s="107">
        <v>616</v>
      </c>
    </row>
    <row r="53" spans="1:3" x14ac:dyDescent="0.35">
      <c r="A53" s="108" t="s">
        <v>31</v>
      </c>
      <c r="B53" s="107">
        <v>1317</v>
      </c>
      <c r="C53" s="107">
        <v>2589</v>
      </c>
    </row>
    <row r="54" spans="1:3" x14ac:dyDescent="0.35">
      <c r="A54" s="106" t="s">
        <v>29</v>
      </c>
      <c r="B54" s="107">
        <v>1566</v>
      </c>
      <c r="C54" s="107">
        <v>1603</v>
      </c>
    </row>
    <row r="55" spans="1:3" x14ac:dyDescent="0.35">
      <c r="A55" s="108" t="s">
        <v>421</v>
      </c>
      <c r="B55" s="107">
        <v>1150</v>
      </c>
      <c r="C55" s="107">
        <v>1150</v>
      </c>
    </row>
    <row r="56" spans="1:3" x14ac:dyDescent="0.35">
      <c r="A56" s="108" t="s">
        <v>464</v>
      </c>
      <c r="B56" s="107">
        <v>416</v>
      </c>
      <c r="C56" s="107">
        <v>453</v>
      </c>
    </row>
    <row r="57" spans="1:3" x14ac:dyDescent="0.35">
      <c r="A57" s="108" t="s">
        <v>489</v>
      </c>
      <c r="B57" s="107">
        <v>405</v>
      </c>
      <c r="C57" s="107">
        <v>445</v>
      </c>
    </row>
    <row r="58" spans="1:3" x14ac:dyDescent="0.35">
      <c r="A58" s="108" t="s">
        <v>491</v>
      </c>
      <c r="B58" s="110">
        <v>11</v>
      </c>
      <c r="C58" s="110">
        <v>8</v>
      </c>
    </row>
    <row r="59" spans="1:3" x14ac:dyDescent="0.35">
      <c r="A59" s="111" t="s">
        <v>33</v>
      </c>
      <c r="B59" s="112">
        <v>45044</v>
      </c>
      <c r="C59" s="112">
        <v>53957</v>
      </c>
    </row>
    <row r="60" spans="1:3" x14ac:dyDescent="0.35">
      <c r="A60" s="104" t="s">
        <v>35</v>
      </c>
      <c r="B60" s="105"/>
      <c r="C60" s="105"/>
    </row>
    <row r="61" spans="1:3" x14ac:dyDescent="0.35">
      <c r="A61" s="111" t="s">
        <v>35</v>
      </c>
      <c r="B61" s="112">
        <v>69416</v>
      </c>
      <c r="C61" s="112">
        <v>82798</v>
      </c>
    </row>
    <row r="62" spans="1:3" x14ac:dyDescent="0.35">
      <c r="A62" s="104" t="s">
        <v>143</v>
      </c>
      <c r="B62" s="105"/>
      <c r="C62" s="105"/>
    </row>
    <row r="63" spans="1:3" x14ac:dyDescent="0.35">
      <c r="A63" s="106" t="s">
        <v>144</v>
      </c>
      <c r="B63" s="107">
        <v>4085</v>
      </c>
      <c r="C63" s="107">
        <v>4556</v>
      </c>
    </row>
    <row r="64" spans="1:3" x14ac:dyDescent="0.35">
      <c r="A64" s="108" t="s">
        <v>37</v>
      </c>
      <c r="B64" s="107">
        <v>2968</v>
      </c>
      <c r="C64" s="107">
        <v>3440</v>
      </c>
    </row>
    <row r="65" spans="1:3" x14ac:dyDescent="0.35">
      <c r="A65" s="108" t="s">
        <v>145</v>
      </c>
      <c r="B65" s="107">
        <v>1117</v>
      </c>
      <c r="C65" s="107">
        <v>1116</v>
      </c>
    </row>
    <row r="66" spans="1:3" x14ac:dyDescent="0.35">
      <c r="A66" s="106" t="s">
        <v>39</v>
      </c>
      <c r="B66" s="107">
        <v>431</v>
      </c>
      <c r="C66" s="107">
        <v>560</v>
      </c>
    </row>
    <row r="67" spans="1:3" ht="26" x14ac:dyDescent="0.35">
      <c r="A67" s="108" t="s">
        <v>146</v>
      </c>
      <c r="B67" s="107">
        <v>431</v>
      </c>
      <c r="C67" s="107">
        <v>560</v>
      </c>
    </row>
    <row r="68" spans="1:3" ht="26" x14ac:dyDescent="0.35">
      <c r="A68" s="108" t="s">
        <v>147</v>
      </c>
      <c r="B68" s="107">
        <v>106</v>
      </c>
      <c r="C68" s="109">
        <v>0</v>
      </c>
    </row>
    <row r="69" spans="1:3" x14ac:dyDescent="0.35">
      <c r="A69" s="108" t="s">
        <v>148</v>
      </c>
      <c r="B69" s="107">
        <v>325</v>
      </c>
      <c r="C69" s="107">
        <v>560</v>
      </c>
    </row>
    <row r="70" spans="1:3" x14ac:dyDescent="0.35">
      <c r="A70" s="106" t="s">
        <v>149</v>
      </c>
      <c r="B70" s="107">
        <v>218</v>
      </c>
      <c r="C70" s="107">
        <v>628</v>
      </c>
    </row>
    <row r="71" spans="1:3" x14ac:dyDescent="0.35">
      <c r="A71" s="106" t="s">
        <v>150</v>
      </c>
      <c r="B71" s="110">
        <v>71</v>
      </c>
      <c r="C71" s="110">
        <v>74</v>
      </c>
    </row>
    <row r="72" spans="1:3" x14ac:dyDescent="0.35">
      <c r="A72" s="106" t="s">
        <v>423</v>
      </c>
      <c r="B72" s="107">
        <v>4443</v>
      </c>
      <c r="C72" s="107">
        <v>5636</v>
      </c>
    </row>
    <row r="73" spans="1:3" x14ac:dyDescent="0.35">
      <c r="A73" s="108" t="s">
        <v>41</v>
      </c>
      <c r="B73" s="107">
        <v>4443</v>
      </c>
      <c r="C73" s="107">
        <v>5636</v>
      </c>
    </row>
    <row r="74" spans="1:3" x14ac:dyDescent="0.35">
      <c r="A74" s="111" t="s">
        <v>43</v>
      </c>
      <c r="B74" s="116">
        <v>9248</v>
      </c>
      <c r="C74" s="112">
        <v>11454</v>
      </c>
    </row>
    <row r="75" spans="1:3" x14ac:dyDescent="0.35">
      <c r="A75" s="104" t="s">
        <v>151</v>
      </c>
      <c r="B75" s="105"/>
      <c r="C75" s="105"/>
    </row>
    <row r="76" spans="1:3" x14ac:dyDescent="0.35">
      <c r="A76" s="106" t="s">
        <v>45</v>
      </c>
      <c r="B76" s="109">
        <v>12966</v>
      </c>
      <c r="C76" s="109">
        <v>14017</v>
      </c>
    </row>
    <row r="77" spans="1:3" x14ac:dyDescent="0.35">
      <c r="A77" s="108" t="s">
        <v>152</v>
      </c>
      <c r="B77" s="109">
        <v>11237</v>
      </c>
      <c r="C77" s="109">
        <v>11533</v>
      </c>
    </row>
    <row r="78" spans="1:3" x14ac:dyDescent="0.35">
      <c r="A78" s="108" t="s">
        <v>153</v>
      </c>
      <c r="B78" s="109">
        <v>11237</v>
      </c>
      <c r="C78" s="109">
        <v>11533</v>
      </c>
    </row>
    <row r="79" spans="1:3" x14ac:dyDescent="0.35">
      <c r="A79" s="108" t="s">
        <v>154</v>
      </c>
      <c r="B79" s="107">
        <v>1729</v>
      </c>
      <c r="C79" s="107">
        <v>2484</v>
      </c>
    </row>
    <row r="80" spans="1:3" x14ac:dyDescent="0.35">
      <c r="A80" s="106" t="s">
        <v>157</v>
      </c>
      <c r="B80" s="107">
        <v>610</v>
      </c>
      <c r="C80" s="107">
        <v>701</v>
      </c>
    </row>
    <row r="81" spans="1:3" x14ac:dyDescent="0.35">
      <c r="A81" s="106" t="s">
        <v>158</v>
      </c>
      <c r="B81" s="107">
        <v>1461</v>
      </c>
      <c r="C81" s="107">
        <v>2461</v>
      </c>
    </row>
    <row r="82" spans="1:3" x14ac:dyDescent="0.35">
      <c r="A82" s="108" t="s">
        <v>47</v>
      </c>
      <c r="B82" s="107">
        <v>1461</v>
      </c>
      <c r="C82" s="107">
        <v>2461</v>
      </c>
    </row>
    <row r="83" spans="1:3" x14ac:dyDescent="0.35">
      <c r="A83" s="106" t="s">
        <v>49</v>
      </c>
      <c r="B83" s="109">
        <v>15037</v>
      </c>
      <c r="C83" s="109">
        <v>17179</v>
      </c>
    </row>
    <row r="84" spans="1:3" x14ac:dyDescent="0.35">
      <c r="A84" s="104" t="s">
        <v>51</v>
      </c>
      <c r="B84" s="105"/>
      <c r="C84" s="105"/>
    </row>
    <row r="85" spans="1:3" x14ac:dyDescent="0.35">
      <c r="A85" s="111" t="s">
        <v>51</v>
      </c>
      <c r="B85" s="112">
        <v>24285</v>
      </c>
      <c r="C85" s="112">
        <v>28633</v>
      </c>
    </row>
    <row r="86" spans="1:3" x14ac:dyDescent="0.35">
      <c r="A86" s="104" t="s">
        <v>162</v>
      </c>
      <c r="B86" s="105"/>
      <c r="C86" s="105"/>
    </row>
    <row r="87" spans="1:3" ht="26" x14ac:dyDescent="0.35">
      <c r="A87" s="106" t="s">
        <v>163</v>
      </c>
      <c r="B87" s="109">
        <v>45131</v>
      </c>
      <c r="C87" s="109">
        <v>54165</v>
      </c>
    </row>
    <row r="88" spans="1:3" x14ac:dyDescent="0.35">
      <c r="A88" s="108" t="s">
        <v>164</v>
      </c>
      <c r="B88" s="109">
        <v>45131</v>
      </c>
      <c r="C88" s="109">
        <v>54165</v>
      </c>
    </row>
    <row r="89" spans="1:3" x14ac:dyDescent="0.35">
      <c r="A89" s="108" t="s">
        <v>165</v>
      </c>
      <c r="B89" s="107">
        <v>7852</v>
      </c>
      <c r="C89" s="107">
        <v>7852</v>
      </c>
    </row>
    <row r="90" spans="1:3" x14ac:dyDescent="0.35">
      <c r="A90" s="108" t="s">
        <v>166</v>
      </c>
      <c r="B90" s="109">
        <v>12240</v>
      </c>
      <c r="C90" s="109">
        <v>13466</v>
      </c>
    </row>
    <row r="91" spans="1:3" x14ac:dyDescent="0.35">
      <c r="A91" s="108" t="s">
        <v>167</v>
      </c>
      <c r="B91" s="107">
        <v>125</v>
      </c>
      <c r="C91" s="107">
        <v>127</v>
      </c>
    </row>
    <row r="92" spans="1:3" ht="26" x14ac:dyDescent="0.35">
      <c r="A92" s="108" t="s">
        <v>168</v>
      </c>
      <c r="B92" s="109">
        <v>12115</v>
      </c>
      <c r="C92" s="109">
        <v>13339</v>
      </c>
    </row>
    <row r="93" spans="1:3" x14ac:dyDescent="0.35">
      <c r="A93" s="108" t="s">
        <v>169</v>
      </c>
      <c r="B93" s="109">
        <v>40743</v>
      </c>
      <c r="C93" s="109">
        <v>48551</v>
      </c>
    </row>
    <row r="94" spans="1:3" x14ac:dyDescent="0.35">
      <c r="A94" s="108" t="s">
        <v>170</v>
      </c>
      <c r="B94" s="109">
        <v>40877</v>
      </c>
      <c r="C94" s="109">
        <v>48583</v>
      </c>
    </row>
    <row r="95" spans="1:3" x14ac:dyDescent="0.35">
      <c r="A95" s="108" t="s">
        <v>171</v>
      </c>
      <c r="B95" s="113">
        <v>-134</v>
      </c>
      <c r="C95" s="114">
        <v>-32</v>
      </c>
    </row>
    <row r="96" spans="1:3" x14ac:dyDescent="0.35">
      <c r="A96" s="108" t="s">
        <v>172</v>
      </c>
      <c r="B96" s="114">
        <v>-8</v>
      </c>
      <c r="C96" s="114">
        <v>-4</v>
      </c>
    </row>
    <row r="97" spans="1:3" x14ac:dyDescent="0.35">
      <c r="A97" s="108" t="s">
        <v>173</v>
      </c>
      <c r="B97" s="113">
        <v>-162</v>
      </c>
      <c r="C97" s="114">
        <v>-70</v>
      </c>
    </row>
    <row r="98" spans="1:3" x14ac:dyDescent="0.35">
      <c r="A98" s="108" t="s">
        <v>174</v>
      </c>
      <c r="B98" s="114">
        <v>-3</v>
      </c>
      <c r="C98" s="114">
        <v>-3</v>
      </c>
    </row>
    <row r="99" spans="1:3" x14ac:dyDescent="0.35">
      <c r="A99" s="108" t="s">
        <v>175</v>
      </c>
      <c r="B99" s="110">
        <v>39</v>
      </c>
      <c r="C99" s="110">
        <v>45</v>
      </c>
    </row>
    <row r="100" spans="1:3" x14ac:dyDescent="0.35">
      <c r="A100" s="108" t="s">
        <v>53</v>
      </c>
      <c r="B100" s="109">
        <v>45131</v>
      </c>
      <c r="C100" s="109">
        <v>54165</v>
      </c>
    </row>
    <row r="101" spans="1:3" x14ac:dyDescent="0.35">
      <c r="A101" s="104" t="s">
        <v>176</v>
      </c>
      <c r="B101" s="105"/>
      <c r="C101" s="105"/>
    </row>
    <row r="102" spans="1:3" ht="26" x14ac:dyDescent="0.35">
      <c r="A102" s="111" t="s">
        <v>57</v>
      </c>
      <c r="B102" s="112">
        <v>45131</v>
      </c>
      <c r="C102" s="112">
        <v>54165</v>
      </c>
    </row>
    <row r="103" spans="1:3" x14ac:dyDescent="0.35">
      <c r="A103" s="104" t="s">
        <v>177</v>
      </c>
      <c r="B103" s="105"/>
      <c r="C103" s="105"/>
    </row>
    <row r="104" spans="1:3" x14ac:dyDescent="0.35">
      <c r="A104" s="111" t="s">
        <v>60</v>
      </c>
      <c r="B104" s="112">
        <v>69416</v>
      </c>
      <c r="C104" s="112">
        <v>82798</v>
      </c>
    </row>
    <row r="105" spans="1:3" x14ac:dyDescent="0.35">
      <c r="A105" s="104" t="s">
        <v>178</v>
      </c>
      <c r="B105" s="105"/>
      <c r="C105" s="105"/>
    </row>
    <row r="106" spans="1:3" x14ac:dyDescent="0.35">
      <c r="A106" s="106" t="s">
        <v>179</v>
      </c>
      <c r="B106" s="107">
        <v>1253</v>
      </c>
      <c r="C106" s="107">
        <v>1266</v>
      </c>
    </row>
    <row r="107" spans="1:3" x14ac:dyDescent="0.35">
      <c r="A107" s="108" t="s">
        <v>180</v>
      </c>
      <c r="B107" s="107">
        <v>1109</v>
      </c>
      <c r="C107" s="107">
        <v>1122</v>
      </c>
    </row>
    <row r="108" spans="1:3" x14ac:dyDescent="0.35">
      <c r="A108" s="108" t="s">
        <v>181</v>
      </c>
      <c r="B108" s="107">
        <v>144</v>
      </c>
      <c r="C108" s="107">
        <v>144</v>
      </c>
    </row>
    <row r="109" spans="1:3" x14ac:dyDescent="0.35">
      <c r="A109" s="106" t="s">
        <v>182</v>
      </c>
      <c r="B109" s="107">
        <v>3000</v>
      </c>
      <c r="C109" s="107">
        <v>3000</v>
      </c>
    </row>
    <row r="110" spans="1:3" x14ac:dyDescent="0.35">
      <c r="A110" s="106" t="s">
        <v>183</v>
      </c>
      <c r="B110" s="107">
        <v>1253</v>
      </c>
      <c r="C110" s="107">
        <v>1266</v>
      </c>
    </row>
    <row r="111" spans="1:3" x14ac:dyDescent="0.35">
      <c r="A111" s="108" t="s">
        <v>184</v>
      </c>
      <c r="B111" s="107">
        <v>1109</v>
      </c>
      <c r="C111" s="107">
        <v>1122</v>
      </c>
    </row>
    <row r="112" spans="1:3" x14ac:dyDescent="0.35">
      <c r="A112" s="108" t="s">
        <v>185</v>
      </c>
      <c r="B112" s="107">
        <v>144</v>
      </c>
      <c r="C112" s="107">
        <v>144</v>
      </c>
    </row>
    <row r="113" spans="1:3" x14ac:dyDescent="0.35">
      <c r="A113" s="104" t="s">
        <v>186</v>
      </c>
      <c r="B113" s="105"/>
      <c r="C113" s="105"/>
    </row>
    <row r="114" spans="1:3" x14ac:dyDescent="0.35">
      <c r="A114" s="106" t="s">
        <v>187</v>
      </c>
      <c r="B114" s="110">
        <v>1</v>
      </c>
      <c r="C114" s="110">
        <v>1</v>
      </c>
    </row>
    <row r="115" spans="1:3" x14ac:dyDescent="0.35">
      <c r="A115" s="104" t="s">
        <v>188</v>
      </c>
      <c r="B115" s="105"/>
      <c r="C115" s="105"/>
    </row>
    <row r="116" spans="1:3" x14ac:dyDescent="0.35">
      <c r="A116" s="106" t="s">
        <v>189</v>
      </c>
      <c r="B116" s="107">
        <v>2683</v>
      </c>
      <c r="C116" s="107">
        <v>3740</v>
      </c>
    </row>
    <row r="117" spans="1:3" ht="26" x14ac:dyDescent="0.35">
      <c r="A117" s="108" t="s">
        <v>190</v>
      </c>
      <c r="B117" s="107">
        <v>645</v>
      </c>
      <c r="C117" s="107">
        <v>736</v>
      </c>
    </row>
    <row r="118" spans="1:3" ht="26" x14ac:dyDescent="0.35">
      <c r="A118" s="108" t="s">
        <v>191</v>
      </c>
      <c r="B118" s="107">
        <v>2038</v>
      </c>
      <c r="C118" s="107">
        <v>3004</v>
      </c>
    </row>
    <row r="119" spans="1:3" ht="26" x14ac:dyDescent="0.35">
      <c r="A119" s="106" t="s">
        <v>192</v>
      </c>
      <c r="B119" s="109">
        <v>37711</v>
      </c>
      <c r="C119" s="109">
        <v>43586</v>
      </c>
    </row>
    <row r="120" spans="1:3" x14ac:dyDescent="0.35">
      <c r="A120" s="104" t="s">
        <v>193</v>
      </c>
      <c r="B120" s="105"/>
      <c r="C120" s="105"/>
    </row>
    <row r="121" spans="1:3" x14ac:dyDescent="0.35">
      <c r="A121" s="106" t="s">
        <v>194</v>
      </c>
      <c r="B121" s="107">
        <v>681</v>
      </c>
      <c r="C121" s="107">
        <v>775</v>
      </c>
    </row>
    <row r="122" spans="1:3" ht="26" x14ac:dyDescent="0.35">
      <c r="A122" s="108" t="s">
        <v>195</v>
      </c>
      <c r="B122" s="110">
        <v>71</v>
      </c>
      <c r="C122" s="110">
        <v>74</v>
      </c>
    </row>
    <row r="123" spans="1:3" x14ac:dyDescent="0.35">
      <c r="A123" s="108" t="s">
        <v>196</v>
      </c>
      <c r="B123" s="107">
        <v>610</v>
      </c>
      <c r="C123" s="107">
        <v>701</v>
      </c>
    </row>
    <row r="124" spans="1:3" x14ac:dyDescent="0.35">
      <c r="A124" s="106" t="s">
        <v>197</v>
      </c>
      <c r="B124" s="107">
        <v>2735</v>
      </c>
      <c r="C124" s="107">
        <v>3819</v>
      </c>
    </row>
    <row r="125" spans="1:3" x14ac:dyDescent="0.35">
      <c r="A125" s="106" t="s">
        <v>198</v>
      </c>
      <c r="B125" s="109">
        <v>14078</v>
      </c>
      <c r="C125" s="109">
        <v>15352</v>
      </c>
    </row>
    <row r="126" spans="1:3" x14ac:dyDescent="0.35">
      <c r="A126" s="104" t="s">
        <v>199</v>
      </c>
      <c r="B126" s="105"/>
      <c r="C126" s="105"/>
    </row>
    <row r="127" spans="1:3" x14ac:dyDescent="0.35">
      <c r="A127" s="106" t="s">
        <v>200</v>
      </c>
      <c r="B127" s="107">
        <v>2111</v>
      </c>
      <c r="C127" s="107">
        <v>2294</v>
      </c>
    </row>
    <row r="128" spans="1:3" x14ac:dyDescent="0.35">
      <c r="A128" s="106" t="s">
        <v>201</v>
      </c>
      <c r="B128" s="107">
        <v>6615</v>
      </c>
      <c r="C128" s="107">
        <v>9265</v>
      </c>
    </row>
    <row r="129" spans="1:3" x14ac:dyDescent="0.35">
      <c r="A129" s="106" t="s">
        <v>203</v>
      </c>
      <c r="B129" s="107">
        <v>2624</v>
      </c>
      <c r="C129" s="107">
        <v>4119</v>
      </c>
    </row>
    <row r="130" spans="1:3" x14ac:dyDescent="0.35">
      <c r="A130" s="106" t="s">
        <v>204</v>
      </c>
      <c r="B130" s="107">
        <v>218</v>
      </c>
      <c r="C130" s="107">
        <v>628</v>
      </c>
    </row>
    <row r="131" spans="1:3" x14ac:dyDescent="0.35">
      <c r="A131" s="106" t="s">
        <v>205</v>
      </c>
      <c r="B131" s="107">
        <v>4085</v>
      </c>
      <c r="C131" s="107">
        <v>4556</v>
      </c>
    </row>
    <row r="132" spans="1:3" x14ac:dyDescent="0.35">
      <c r="A132" s="108" t="s">
        <v>206</v>
      </c>
      <c r="B132" s="107">
        <v>2968</v>
      </c>
      <c r="C132" s="107">
        <v>3440</v>
      </c>
    </row>
    <row r="133" spans="1:3" x14ac:dyDescent="0.35">
      <c r="A133" s="108" t="s">
        <v>207</v>
      </c>
      <c r="B133" s="107">
        <v>1117</v>
      </c>
      <c r="C133" s="107">
        <v>1116</v>
      </c>
    </row>
    <row r="134" spans="1:3" x14ac:dyDescent="0.35">
      <c r="A134" s="104" t="s">
        <v>208</v>
      </c>
      <c r="B134" s="105"/>
      <c r="C134" s="105"/>
    </row>
    <row r="135" spans="1:3" x14ac:dyDescent="0.35">
      <c r="A135" s="106" t="s">
        <v>209</v>
      </c>
      <c r="B135" s="107">
        <v>5291</v>
      </c>
      <c r="C135" s="107">
        <v>4270</v>
      </c>
    </row>
    <row r="136" spans="1:3" x14ac:dyDescent="0.35">
      <c r="A136" s="106" t="s">
        <v>210</v>
      </c>
      <c r="B136" s="109">
        <v>13397</v>
      </c>
      <c r="C136" s="109">
        <v>14577</v>
      </c>
    </row>
    <row r="137" spans="1:3" x14ac:dyDescent="0.35">
      <c r="A137" s="106" t="s">
        <v>211</v>
      </c>
      <c r="B137" s="109">
        <v>0</v>
      </c>
      <c r="C137" s="109">
        <v>0</v>
      </c>
    </row>
    <row r="138" spans="1:3" x14ac:dyDescent="0.35">
      <c r="A138" s="106" t="s">
        <v>212</v>
      </c>
      <c r="B138" s="107">
        <v>2500</v>
      </c>
      <c r="C138" s="107">
        <v>3500</v>
      </c>
    </row>
    <row r="139" spans="1:3" x14ac:dyDescent="0.35">
      <c r="A139" s="106" t="s">
        <v>213</v>
      </c>
      <c r="B139" s="107">
        <v>2500</v>
      </c>
      <c r="C139" s="107">
        <v>3500</v>
      </c>
    </row>
    <row r="140" spans="1:3" x14ac:dyDescent="0.35">
      <c r="A140" s="104" t="s">
        <v>214</v>
      </c>
      <c r="B140" s="105"/>
      <c r="C140" s="105"/>
    </row>
    <row r="141" spans="1:3" x14ac:dyDescent="0.35">
      <c r="A141" s="106" t="s">
        <v>215</v>
      </c>
      <c r="B141" s="109">
        <v>11437</v>
      </c>
      <c r="C141" s="109">
        <v>11581</v>
      </c>
    </row>
    <row r="142" spans="1:3" x14ac:dyDescent="0.35">
      <c r="A142" s="108" t="s">
        <v>216</v>
      </c>
      <c r="B142" s="107">
        <v>107</v>
      </c>
      <c r="C142" s="109">
        <v>0</v>
      </c>
    </row>
    <row r="143" spans="1:3" x14ac:dyDescent="0.35">
      <c r="A143" s="108" t="s">
        <v>217</v>
      </c>
      <c r="B143" s="107">
        <v>607</v>
      </c>
      <c r="C143" s="109">
        <v>0</v>
      </c>
    </row>
    <row r="144" spans="1:3" x14ac:dyDescent="0.35">
      <c r="A144" s="108" t="s">
        <v>218</v>
      </c>
      <c r="B144" s="107">
        <v>1780</v>
      </c>
      <c r="C144" s="107">
        <v>542</v>
      </c>
    </row>
    <row r="145" spans="1:3" x14ac:dyDescent="0.35">
      <c r="A145" s="108" t="s">
        <v>219</v>
      </c>
      <c r="B145" s="107">
        <v>1493</v>
      </c>
      <c r="C145" s="107">
        <v>1684</v>
      </c>
    </row>
    <row r="146" spans="1:3" x14ac:dyDescent="0.35">
      <c r="A146" s="108" t="s">
        <v>220</v>
      </c>
      <c r="B146" s="107">
        <v>700</v>
      </c>
      <c r="C146" s="107">
        <v>1955</v>
      </c>
    </row>
    <row r="147" spans="1:3" x14ac:dyDescent="0.35">
      <c r="A147" s="108" t="s">
        <v>431</v>
      </c>
      <c r="B147" s="107">
        <v>6750</v>
      </c>
      <c r="C147" s="107">
        <v>7400</v>
      </c>
    </row>
    <row r="148" spans="1:3" x14ac:dyDescent="0.35">
      <c r="A148" s="106" t="s">
        <v>221</v>
      </c>
      <c r="B148" s="107">
        <v>2387</v>
      </c>
      <c r="C148" s="107">
        <v>542</v>
      </c>
    </row>
    <row r="149" spans="1:3" x14ac:dyDescent="0.35">
      <c r="A149" s="106" t="s">
        <v>222</v>
      </c>
      <c r="B149" s="107">
        <v>2193</v>
      </c>
      <c r="C149" s="107">
        <v>3639</v>
      </c>
    </row>
    <row r="150" spans="1:3" x14ac:dyDescent="0.35">
      <c r="A150" s="106" t="s">
        <v>432</v>
      </c>
      <c r="B150" s="107">
        <v>6750</v>
      </c>
      <c r="C150" s="107">
        <v>7400</v>
      </c>
    </row>
    <row r="151" spans="1:3" x14ac:dyDescent="0.35">
      <c r="A151" s="104" t="s">
        <v>223</v>
      </c>
      <c r="B151" s="105"/>
      <c r="C151" s="105"/>
    </row>
    <row r="152" spans="1:3" x14ac:dyDescent="0.35">
      <c r="A152" s="106" t="s">
        <v>224</v>
      </c>
      <c r="B152" s="107">
        <v>2054</v>
      </c>
      <c r="C152" s="107">
        <v>3044</v>
      </c>
    </row>
    <row r="153" spans="1:3" x14ac:dyDescent="0.35">
      <c r="A153" s="108" t="s">
        <v>225</v>
      </c>
      <c r="B153" s="107">
        <v>400</v>
      </c>
      <c r="C153" s="107">
        <v>675</v>
      </c>
    </row>
    <row r="154" spans="1:3" x14ac:dyDescent="0.35">
      <c r="A154" s="108" t="s">
        <v>226</v>
      </c>
      <c r="B154" s="107">
        <v>380</v>
      </c>
      <c r="C154" s="107">
        <v>660</v>
      </c>
    </row>
    <row r="155" spans="1:3" x14ac:dyDescent="0.35">
      <c r="A155" s="108" t="s">
        <v>227</v>
      </c>
      <c r="B155" s="107">
        <v>373</v>
      </c>
      <c r="C155" s="107">
        <v>640</v>
      </c>
    </row>
    <row r="156" spans="1:3" x14ac:dyDescent="0.35">
      <c r="A156" s="108" t="s">
        <v>228</v>
      </c>
      <c r="B156" s="107">
        <v>362</v>
      </c>
      <c r="C156" s="107">
        <v>548</v>
      </c>
    </row>
    <row r="157" spans="1:3" x14ac:dyDescent="0.35">
      <c r="A157" s="108" t="s">
        <v>229</v>
      </c>
      <c r="B157" s="107">
        <v>279</v>
      </c>
      <c r="C157" s="107">
        <v>336</v>
      </c>
    </row>
    <row r="158" spans="1:3" x14ac:dyDescent="0.35">
      <c r="A158" s="108" t="s">
        <v>230</v>
      </c>
      <c r="B158" s="107">
        <v>568</v>
      </c>
      <c r="C158" s="107">
        <v>647</v>
      </c>
    </row>
    <row r="159" spans="1:3" x14ac:dyDescent="0.35">
      <c r="A159" s="108" t="s">
        <v>231</v>
      </c>
      <c r="B159" s="107">
        <v>308</v>
      </c>
      <c r="C159" s="107">
        <v>462</v>
      </c>
    </row>
    <row r="160" spans="1:3" x14ac:dyDescent="0.35">
      <c r="A160" s="106" t="s">
        <v>232</v>
      </c>
      <c r="B160" s="107">
        <v>753</v>
      </c>
      <c r="C160" s="107">
        <v>1300</v>
      </c>
    </row>
    <row r="161" spans="1:3" x14ac:dyDescent="0.35">
      <c r="A161" s="106" t="s">
        <v>233</v>
      </c>
      <c r="B161" s="107">
        <v>641</v>
      </c>
      <c r="C161" s="107">
        <v>884</v>
      </c>
    </row>
    <row r="162" spans="1:3" x14ac:dyDescent="0.35">
      <c r="A162" s="106" t="s">
        <v>234</v>
      </c>
      <c r="B162" s="107">
        <v>568</v>
      </c>
      <c r="C162" s="107">
        <v>647</v>
      </c>
    </row>
    <row r="163" spans="1:3" x14ac:dyDescent="0.35">
      <c r="A163" s="104" t="s">
        <v>235</v>
      </c>
      <c r="B163" s="105"/>
      <c r="C163" s="105"/>
    </row>
    <row r="164" spans="1:3" ht="26" x14ac:dyDescent="0.35">
      <c r="A164" s="106" t="s">
        <v>236</v>
      </c>
      <c r="B164" s="110">
        <v>10</v>
      </c>
      <c r="C164" s="110">
        <v>12</v>
      </c>
    </row>
    <row r="165" spans="1:3" x14ac:dyDescent="0.35">
      <c r="A165" s="106" t="s">
        <v>237</v>
      </c>
      <c r="B165" s="110">
        <v>8</v>
      </c>
      <c r="C165" s="110">
        <v>7</v>
      </c>
    </row>
    <row r="166" spans="1:3" ht="26" x14ac:dyDescent="0.35">
      <c r="A166" s="106" t="s">
        <v>238</v>
      </c>
      <c r="B166" s="115">
        <v>0</v>
      </c>
      <c r="C166" s="115">
        <v>0</v>
      </c>
    </row>
    <row r="167" spans="1:3" x14ac:dyDescent="0.35">
      <c r="A167" s="106" t="s">
        <v>239</v>
      </c>
      <c r="B167" s="115">
        <v>0</v>
      </c>
      <c r="C167" s="115">
        <v>0</v>
      </c>
    </row>
    <row r="168" spans="1:3" x14ac:dyDescent="0.35">
      <c r="A168" s="104" t="s">
        <v>82</v>
      </c>
      <c r="B168" s="105"/>
      <c r="C168" s="105"/>
    </row>
    <row r="169" spans="1:3" x14ac:dyDescent="0.35">
      <c r="A169" s="106" t="s">
        <v>240</v>
      </c>
      <c r="B169" s="107">
        <v>8083</v>
      </c>
      <c r="C169" s="107">
        <v>7745</v>
      </c>
    </row>
    <row r="170" spans="1:3" x14ac:dyDescent="0.35">
      <c r="A170" s="106" t="s">
        <v>241</v>
      </c>
      <c r="B170" s="109">
        <v>61225</v>
      </c>
      <c r="C170" s="109">
        <v>72006</v>
      </c>
    </row>
    <row r="171" spans="1:3" x14ac:dyDescent="0.35">
      <c r="A171" s="106" t="s">
        <v>242</v>
      </c>
      <c r="B171" s="107">
        <v>7041</v>
      </c>
      <c r="C171" s="107">
        <v>9642</v>
      </c>
    </row>
    <row r="172" spans="1:3" x14ac:dyDescent="0.35">
      <c r="A172" s="106" t="s">
        <v>243</v>
      </c>
      <c r="B172" s="107">
        <v>8106</v>
      </c>
      <c r="C172" s="109">
        <v>10307</v>
      </c>
    </row>
    <row r="173" spans="1:3" ht="26" x14ac:dyDescent="0.35">
      <c r="A173" s="106" t="s">
        <v>244</v>
      </c>
      <c r="B173" s="109">
        <v>13397</v>
      </c>
      <c r="C173" s="109">
        <v>14577</v>
      </c>
    </row>
    <row r="174" spans="1:3" x14ac:dyDescent="0.35">
      <c r="A174" s="106" t="s">
        <v>245</v>
      </c>
      <c r="B174" s="107">
        <v>1236</v>
      </c>
      <c r="C174" s="107">
        <v>1823</v>
      </c>
    </row>
    <row r="175" spans="1:3" x14ac:dyDescent="0.35">
      <c r="A175" s="106" t="s">
        <v>246</v>
      </c>
      <c r="B175" s="109">
        <v>50422</v>
      </c>
      <c r="C175" s="109">
        <v>58435</v>
      </c>
    </row>
    <row r="176" spans="1:3" x14ac:dyDescent="0.35">
      <c r="A176" s="106" t="s">
        <v>247</v>
      </c>
      <c r="B176" s="109">
        <v>50422</v>
      </c>
      <c r="C176" s="109">
        <v>58435</v>
      </c>
    </row>
    <row r="177" spans="1:3" x14ac:dyDescent="0.35">
      <c r="A177" s="106" t="s">
        <v>249</v>
      </c>
      <c r="B177" s="109">
        <v>45131</v>
      </c>
      <c r="C177" s="109">
        <v>54165</v>
      </c>
    </row>
    <row r="178" spans="1:3" x14ac:dyDescent="0.35">
      <c r="A178" s="106" t="s">
        <v>250</v>
      </c>
      <c r="B178" s="109">
        <v>43565</v>
      </c>
      <c r="C178" s="109">
        <v>52562</v>
      </c>
    </row>
    <row r="179" spans="1:3" x14ac:dyDescent="0.35">
      <c r="A179" s="106" t="s">
        <v>251</v>
      </c>
      <c r="B179" s="109">
        <v>43565</v>
      </c>
      <c r="C179" s="109">
        <v>52562</v>
      </c>
    </row>
    <row r="180" spans="1:3" x14ac:dyDescent="0.35">
      <c r="A180" s="106" t="s">
        <v>252</v>
      </c>
      <c r="B180" s="109">
        <v>58528</v>
      </c>
      <c r="C180" s="109">
        <v>68742</v>
      </c>
    </row>
    <row r="181" spans="1:3" x14ac:dyDescent="0.35">
      <c r="A181" s="106" t="s">
        <v>253</v>
      </c>
      <c r="B181" s="109">
        <v>58528</v>
      </c>
      <c r="C181" s="109">
        <v>68742</v>
      </c>
    </row>
    <row r="182" spans="1:3" x14ac:dyDescent="0.35">
      <c r="A182" s="106" t="s">
        <v>254</v>
      </c>
      <c r="B182" s="109">
        <v>60168</v>
      </c>
      <c r="C182" s="109">
        <v>71344</v>
      </c>
    </row>
    <row r="183" spans="1:3" x14ac:dyDescent="0.35">
      <c r="A183" s="106" t="s">
        <v>255</v>
      </c>
      <c r="B183" s="109">
        <v>43894</v>
      </c>
      <c r="C183" s="109">
        <v>52807</v>
      </c>
    </row>
    <row r="184" spans="1:3" x14ac:dyDescent="0.35">
      <c r="A184" s="106" t="s">
        <v>256</v>
      </c>
      <c r="B184" s="109">
        <v>15124</v>
      </c>
      <c r="C184" s="109">
        <v>17387</v>
      </c>
    </row>
    <row r="185" spans="1:3" x14ac:dyDescent="0.35">
      <c r="A185" s="106" t="s">
        <v>257</v>
      </c>
      <c r="B185" s="107">
        <v>7018</v>
      </c>
      <c r="C185" s="107">
        <v>7080</v>
      </c>
    </row>
    <row r="186" spans="1:3" ht="26" x14ac:dyDescent="0.35">
      <c r="A186" s="106" t="s">
        <v>434</v>
      </c>
      <c r="B186" s="109">
        <v>18791</v>
      </c>
      <c r="C186" s="109">
        <v>22109</v>
      </c>
    </row>
    <row r="187" spans="1:3" x14ac:dyDescent="0.35">
      <c r="A187" s="106" t="s">
        <v>258</v>
      </c>
      <c r="B187" s="109">
        <v>45131</v>
      </c>
      <c r="C187" s="109">
        <v>54165</v>
      </c>
    </row>
    <row r="188" spans="1:3" x14ac:dyDescent="0.35">
      <c r="A188" s="104" t="s">
        <v>259</v>
      </c>
      <c r="B188" s="105"/>
      <c r="C188" s="105"/>
    </row>
    <row r="189" spans="1:3" x14ac:dyDescent="0.35">
      <c r="A189" s="106" t="s">
        <v>260</v>
      </c>
      <c r="B189" s="107">
        <v>1636</v>
      </c>
      <c r="C189" s="107">
        <v>1443</v>
      </c>
    </row>
    <row r="190" spans="1:3" x14ac:dyDescent="0.35">
      <c r="A190" s="104" t="s">
        <v>261</v>
      </c>
      <c r="B190" s="105"/>
      <c r="C190" s="105"/>
    </row>
    <row r="191" spans="1:3" x14ac:dyDescent="0.35">
      <c r="A191" s="106" t="s">
        <v>262</v>
      </c>
      <c r="B191" s="107">
        <v>681</v>
      </c>
      <c r="C191" s="107">
        <v>775</v>
      </c>
    </row>
    <row r="192" spans="1:3" x14ac:dyDescent="0.35">
      <c r="A192" s="108" t="s">
        <v>263</v>
      </c>
      <c r="B192" s="110">
        <v>93</v>
      </c>
      <c r="C192" s="110">
        <v>92</v>
      </c>
    </row>
    <row r="193" spans="1:3" x14ac:dyDescent="0.35">
      <c r="A193" s="108" t="s">
        <v>264</v>
      </c>
      <c r="B193" s="110">
        <v>82</v>
      </c>
      <c r="C193" s="110">
        <v>97</v>
      </c>
    </row>
    <row r="194" spans="1:3" x14ac:dyDescent="0.35">
      <c r="A194" s="108" t="s">
        <v>265</v>
      </c>
      <c r="B194" s="110">
        <v>87</v>
      </c>
      <c r="C194" s="110">
        <v>89</v>
      </c>
    </row>
    <row r="195" spans="1:3" x14ac:dyDescent="0.35">
      <c r="A195" s="108" t="s">
        <v>266</v>
      </c>
      <c r="B195" s="110">
        <v>82</v>
      </c>
      <c r="C195" s="110">
        <v>83</v>
      </c>
    </row>
    <row r="196" spans="1:3" x14ac:dyDescent="0.35">
      <c r="A196" s="108" t="s">
        <v>267</v>
      </c>
      <c r="B196" s="110">
        <v>76</v>
      </c>
      <c r="C196" s="110">
        <v>85</v>
      </c>
    </row>
    <row r="197" spans="1:3" x14ac:dyDescent="0.35">
      <c r="A197" s="108" t="s">
        <v>268</v>
      </c>
      <c r="B197" s="107">
        <v>398</v>
      </c>
      <c r="C197" s="107">
        <v>628</v>
      </c>
    </row>
    <row r="198" spans="1:3" ht="26" x14ac:dyDescent="0.35">
      <c r="A198" s="108" t="s">
        <v>269</v>
      </c>
      <c r="B198" s="107">
        <v>137</v>
      </c>
      <c r="C198" s="107">
        <v>299</v>
      </c>
    </row>
    <row r="199" spans="1:3" x14ac:dyDescent="0.35">
      <c r="A199" s="106" t="s">
        <v>270</v>
      </c>
      <c r="B199" s="107">
        <v>169</v>
      </c>
      <c r="C199" s="107">
        <v>186</v>
      </c>
    </row>
    <row r="200" spans="1:3" x14ac:dyDescent="0.35">
      <c r="A200" s="106" t="s">
        <v>271</v>
      </c>
      <c r="B200" s="107">
        <v>158</v>
      </c>
      <c r="C200" s="107">
        <v>168</v>
      </c>
    </row>
    <row r="201" spans="1:3" x14ac:dyDescent="0.35">
      <c r="A201" s="106" t="s">
        <v>272</v>
      </c>
      <c r="B201" s="107">
        <v>398</v>
      </c>
      <c r="C201" s="107">
        <v>628</v>
      </c>
    </row>
    <row r="202" spans="1:3" x14ac:dyDescent="0.35">
      <c r="A202" s="104" t="s">
        <v>273</v>
      </c>
      <c r="B202" s="105"/>
      <c r="C202" s="105"/>
    </row>
    <row r="203" spans="1:3" x14ac:dyDescent="0.35">
      <c r="A203" s="106" t="s">
        <v>274</v>
      </c>
      <c r="B203" s="109">
        <v>48000</v>
      </c>
      <c r="C203" s="109">
        <v>53000</v>
      </c>
    </row>
    <row r="204" spans="1:3" ht="26" x14ac:dyDescent="0.35">
      <c r="A204" s="106" t="s">
        <v>275</v>
      </c>
      <c r="B204" s="109">
        <v>48000</v>
      </c>
      <c r="C204" s="109">
        <v>53000</v>
      </c>
    </row>
    <row r="208" spans="1:3" x14ac:dyDescent="0.35">
      <c r="A208" s="98" t="s">
        <v>110</v>
      </c>
      <c r="B208" s="99" t="s">
        <v>111</v>
      </c>
      <c r="C208" s="99" t="s">
        <v>112</v>
      </c>
    </row>
    <row r="209" spans="1:3" x14ac:dyDescent="0.35">
      <c r="A209" s="100" t="s">
        <v>113</v>
      </c>
      <c r="B209" s="101">
        <v>45533</v>
      </c>
      <c r="C209" s="101">
        <v>45897</v>
      </c>
    </row>
    <row r="210" spans="1:3" x14ac:dyDescent="0.35">
      <c r="A210" s="100" t="s">
        <v>114</v>
      </c>
      <c r="B210" s="101" t="s">
        <v>115</v>
      </c>
      <c r="C210" s="101" t="s">
        <v>115</v>
      </c>
    </row>
    <row r="211" spans="1:3" x14ac:dyDescent="0.35">
      <c r="A211" s="102" t="s">
        <v>276</v>
      </c>
      <c r="B211" s="98"/>
      <c r="C211" s="98"/>
    </row>
    <row r="212" spans="1:3" x14ac:dyDescent="0.35">
      <c r="A212" s="102" t="s">
        <v>117</v>
      </c>
      <c r="B212" s="103" t="s">
        <v>601</v>
      </c>
      <c r="C212" s="103" t="s">
        <v>602</v>
      </c>
    </row>
    <row r="213" spans="1:3" x14ac:dyDescent="0.35">
      <c r="A213" s="104" t="s">
        <v>277</v>
      </c>
      <c r="B213" s="105"/>
      <c r="C213" s="105"/>
    </row>
    <row r="214" spans="1:3" x14ac:dyDescent="0.35">
      <c r="A214" s="106" t="s">
        <v>278</v>
      </c>
      <c r="B214" s="109">
        <v>25111</v>
      </c>
      <c r="C214" s="109">
        <v>37378</v>
      </c>
    </row>
    <row r="215" spans="1:3" x14ac:dyDescent="0.35">
      <c r="A215" s="108" t="s">
        <v>279</v>
      </c>
      <c r="B215" s="109">
        <v>25111</v>
      </c>
      <c r="C215" s="109">
        <v>37378</v>
      </c>
    </row>
    <row r="216" spans="1:3" x14ac:dyDescent="0.35">
      <c r="A216" s="111" t="s">
        <v>64</v>
      </c>
      <c r="B216" s="112">
        <v>25111</v>
      </c>
      <c r="C216" s="112">
        <v>37378</v>
      </c>
    </row>
    <row r="217" spans="1:3" x14ac:dyDescent="0.35">
      <c r="A217" s="104" t="s">
        <v>280</v>
      </c>
      <c r="B217" s="105"/>
      <c r="C217" s="105"/>
    </row>
    <row r="218" spans="1:3" x14ac:dyDescent="0.35">
      <c r="A218" s="106" t="s">
        <v>281</v>
      </c>
      <c r="B218" s="109">
        <v>19498</v>
      </c>
      <c r="C218" s="109">
        <v>22505</v>
      </c>
    </row>
    <row r="219" spans="1:3" x14ac:dyDescent="0.35">
      <c r="A219" s="108" t="s">
        <v>282</v>
      </c>
      <c r="B219" s="109">
        <v>19498</v>
      </c>
      <c r="C219" s="109">
        <v>22505</v>
      </c>
    </row>
    <row r="220" spans="1:3" x14ac:dyDescent="0.35">
      <c r="A220" s="108" t="s">
        <v>283</v>
      </c>
      <c r="B220" s="109">
        <v>19186</v>
      </c>
      <c r="C220" s="109">
        <v>22096</v>
      </c>
    </row>
    <row r="221" spans="1:3" ht="26" x14ac:dyDescent="0.35">
      <c r="A221" s="108" t="s">
        <v>551</v>
      </c>
      <c r="B221" s="107">
        <v>312</v>
      </c>
      <c r="C221" s="107">
        <v>409</v>
      </c>
    </row>
    <row r="222" spans="1:3" x14ac:dyDescent="0.35">
      <c r="A222" s="111" t="s">
        <v>68</v>
      </c>
      <c r="B222" s="116">
        <v>5613</v>
      </c>
      <c r="C222" s="112">
        <v>14873</v>
      </c>
    </row>
    <row r="223" spans="1:3" x14ac:dyDescent="0.35">
      <c r="A223" s="106" t="s">
        <v>286</v>
      </c>
      <c r="B223" s="107">
        <v>4559</v>
      </c>
      <c r="C223" s="107">
        <v>5003</v>
      </c>
    </row>
    <row r="224" spans="1:3" x14ac:dyDescent="0.35">
      <c r="A224" s="108" t="s">
        <v>287</v>
      </c>
      <c r="B224" s="107">
        <v>916</v>
      </c>
      <c r="C224" s="107">
        <v>986</v>
      </c>
    </row>
    <row r="225" spans="1:3" ht="39" x14ac:dyDescent="0.35">
      <c r="A225" s="108" t="s">
        <v>547</v>
      </c>
      <c r="B225" s="107">
        <v>213</v>
      </c>
      <c r="C225" s="107">
        <v>219</v>
      </c>
    </row>
    <row r="226" spans="1:3" x14ac:dyDescent="0.35">
      <c r="A226" s="108" t="s">
        <v>529</v>
      </c>
      <c r="B226" s="107">
        <v>3430</v>
      </c>
      <c r="C226" s="107">
        <v>3798</v>
      </c>
    </row>
    <row r="227" spans="1:3" x14ac:dyDescent="0.35">
      <c r="A227" s="106" t="s">
        <v>291</v>
      </c>
      <c r="B227" s="110">
        <v>8</v>
      </c>
      <c r="C227" s="110">
        <v>4</v>
      </c>
    </row>
    <row r="228" spans="1:3" x14ac:dyDescent="0.35">
      <c r="A228" s="106" t="s">
        <v>76</v>
      </c>
      <c r="B228" s="109">
        <v>24065</v>
      </c>
      <c r="C228" s="109">
        <v>27512</v>
      </c>
    </row>
    <row r="229" spans="1:3" x14ac:dyDescent="0.35">
      <c r="A229" s="104" t="s">
        <v>292</v>
      </c>
      <c r="B229" s="105"/>
      <c r="C229" s="105"/>
    </row>
    <row r="230" spans="1:3" x14ac:dyDescent="0.35">
      <c r="A230" s="111" t="s">
        <v>293</v>
      </c>
      <c r="B230" s="116">
        <v>1046</v>
      </c>
      <c r="C230" s="116">
        <v>9866</v>
      </c>
    </row>
    <row r="231" spans="1:3" x14ac:dyDescent="0.35">
      <c r="A231" s="104" t="s">
        <v>294</v>
      </c>
      <c r="B231" s="105"/>
      <c r="C231" s="105"/>
    </row>
    <row r="232" spans="1:3" x14ac:dyDescent="0.35">
      <c r="A232" s="106" t="s">
        <v>295</v>
      </c>
      <c r="B232" s="114">
        <v>-33</v>
      </c>
      <c r="C232" s="114">
        <v>-53</v>
      </c>
    </row>
    <row r="233" spans="1:3" x14ac:dyDescent="0.35">
      <c r="A233" s="108" t="s">
        <v>81</v>
      </c>
      <c r="B233" s="110">
        <v>33</v>
      </c>
      <c r="C233" s="114">
        <v>-19</v>
      </c>
    </row>
    <row r="234" spans="1:3" x14ac:dyDescent="0.35">
      <c r="A234" s="108" t="s">
        <v>296</v>
      </c>
      <c r="B234" s="107">
        <v>529</v>
      </c>
      <c r="C234" s="107">
        <v>496</v>
      </c>
    </row>
    <row r="235" spans="1:3" x14ac:dyDescent="0.35">
      <c r="A235" s="108" t="s">
        <v>297</v>
      </c>
      <c r="B235" s="107">
        <v>562</v>
      </c>
      <c r="C235" s="107">
        <v>477</v>
      </c>
    </row>
    <row r="236" spans="1:3" x14ac:dyDescent="0.35">
      <c r="A236" s="108" t="s">
        <v>298</v>
      </c>
      <c r="B236" s="107">
        <v>787</v>
      </c>
      <c r="C236" s="107">
        <v>798</v>
      </c>
    </row>
    <row r="237" spans="1:3" x14ac:dyDescent="0.35">
      <c r="A237" s="108" t="s">
        <v>299</v>
      </c>
      <c r="B237" s="107">
        <v>225</v>
      </c>
      <c r="C237" s="107">
        <v>321</v>
      </c>
    </row>
    <row r="238" spans="1:3" x14ac:dyDescent="0.35">
      <c r="A238" s="108" t="s">
        <v>300</v>
      </c>
      <c r="B238" s="109"/>
      <c r="C238" s="114">
        <v>-72</v>
      </c>
    </row>
    <row r="239" spans="1:3" x14ac:dyDescent="0.35">
      <c r="A239" s="108" t="s">
        <v>301</v>
      </c>
      <c r="B239" s="109"/>
      <c r="C239" s="114">
        <v>-72</v>
      </c>
    </row>
    <row r="240" spans="1:3" x14ac:dyDescent="0.35">
      <c r="A240" s="106" t="s">
        <v>437</v>
      </c>
      <c r="B240" s="110">
        <v>59</v>
      </c>
      <c r="C240" s="109"/>
    </row>
    <row r="241" spans="1:3" x14ac:dyDescent="0.35">
      <c r="A241" s="106" t="s">
        <v>438</v>
      </c>
      <c r="B241" s="110">
        <v>1</v>
      </c>
      <c r="C241" s="110">
        <v>6</v>
      </c>
    </row>
    <row r="242" spans="1:3" x14ac:dyDescent="0.35">
      <c r="A242" s="106" t="s">
        <v>304</v>
      </c>
      <c r="B242" s="107">
        <v>1073</v>
      </c>
      <c r="C242" s="107">
        <v>9819</v>
      </c>
    </row>
    <row r="243" spans="1:3" x14ac:dyDescent="0.35">
      <c r="A243" s="104" t="s">
        <v>305</v>
      </c>
      <c r="B243" s="105"/>
      <c r="C243" s="105"/>
    </row>
    <row r="244" spans="1:3" x14ac:dyDescent="0.35">
      <c r="A244" s="106" t="s">
        <v>306</v>
      </c>
      <c r="B244" s="107">
        <v>167</v>
      </c>
      <c r="C244" s="113">
        <v>-165</v>
      </c>
    </row>
    <row r="245" spans="1:3" x14ac:dyDescent="0.35">
      <c r="A245" s="108" t="s">
        <v>307</v>
      </c>
      <c r="B245" s="109">
        <v>0</v>
      </c>
      <c r="C245" s="109"/>
    </row>
    <row r="246" spans="1:3" x14ac:dyDescent="0.35">
      <c r="A246" s="108" t="s">
        <v>553</v>
      </c>
      <c r="B246" s="109">
        <v>0</v>
      </c>
      <c r="C246" s="109"/>
    </row>
    <row r="247" spans="1:3" x14ac:dyDescent="0.35">
      <c r="A247" s="108" t="s">
        <v>310</v>
      </c>
      <c r="B247" s="110">
        <v>1</v>
      </c>
      <c r="C247" s="110">
        <v>39</v>
      </c>
    </row>
    <row r="248" spans="1:3" x14ac:dyDescent="0.35">
      <c r="A248" s="108" t="s">
        <v>311</v>
      </c>
      <c r="B248" s="109"/>
      <c r="C248" s="114">
        <v>-59</v>
      </c>
    </row>
    <row r="249" spans="1:3" x14ac:dyDescent="0.35">
      <c r="A249" s="108" t="s">
        <v>530</v>
      </c>
      <c r="B249" s="114">
        <v>-32</v>
      </c>
      <c r="C249" s="114">
        <v>-10</v>
      </c>
    </row>
    <row r="250" spans="1:3" x14ac:dyDescent="0.35">
      <c r="A250" s="108" t="s">
        <v>441</v>
      </c>
      <c r="B250" s="107">
        <v>200</v>
      </c>
      <c r="C250" s="114">
        <v>-57</v>
      </c>
    </row>
    <row r="251" spans="1:3" x14ac:dyDescent="0.35">
      <c r="A251" s="104" t="s">
        <v>313</v>
      </c>
      <c r="B251" s="105"/>
      <c r="C251" s="105"/>
    </row>
    <row r="252" spans="1:3" x14ac:dyDescent="0.35">
      <c r="A252" s="111" t="s">
        <v>83</v>
      </c>
      <c r="B252" s="116">
        <v>1240</v>
      </c>
      <c r="C252" s="116">
        <v>9654</v>
      </c>
    </row>
    <row r="253" spans="1:3" x14ac:dyDescent="0.35">
      <c r="A253" s="104" t="s">
        <v>314</v>
      </c>
      <c r="B253" s="105"/>
      <c r="C253" s="105"/>
    </row>
    <row r="254" spans="1:3" x14ac:dyDescent="0.35">
      <c r="A254" s="106" t="s">
        <v>84</v>
      </c>
      <c r="B254" s="107">
        <v>451</v>
      </c>
      <c r="C254" s="107">
        <v>1124</v>
      </c>
    </row>
    <row r="255" spans="1:3" x14ac:dyDescent="0.35">
      <c r="A255" s="108" t="s">
        <v>315</v>
      </c>
      <c r="B255" s="107">
        <v>416</v>
      </c>
      <c r="C255" s="107">
        <v>960</v>
      </c>
    </row>
    <row r="256" spans="1:3" x14ac:dyDescent="0.35">
      <c r="A256" s="108" t="s">
        <v>316</v>
      </c>
      <c r="B256" s="110">
        <v>83</v>
      </c>
      <c r="C256" s="107">
        <v>290</v>
      </c>
    </row>
    <row r="257" spans="1:3" x14ac:dyDescent="0.35">
      <c r="A257" s="108" t="s">
        <v>317</v>
      </c>
      <c r="B257" s="107">
        <v>333</v>
      </c>
      <c r="C257" s="107">
        <v>670</v>
      </c>
    </row>
    <row r="258" spans="1:3" x14ac:dyDescent="0.35">
      <c r="A258" s="108" t="s">
        <v>318</v>
      </c>
      <c r="B258" s="110">
        <v>35</v>
      </c>
      <c r="C258" s="107">
        <v>164</v>
      </c>
    </row>
    <row r="259" spans="1:3" x14ac:dyDescent="0.35">
      <c r="A259" s="108" t="s">
        <v>319</v>
      </c>
      <c r="B259" s="114">
        <v>-18</v>
      </c>
      <c r="C259" s="107">
        <v>118</v>
      </c>
    </row>
    <row r="260" spans="1:3" x14ac:dyDescent="0.35">
      <c r="A260" s="108" t="s">
        <v>320</v>
      </c>
      <c r="B260" s="110">
        <v>53</v>
      </c>
      <c r="C260" s="110">
        <v>46</v>
      </c>
    </row>
    <row r="261" spans="1:3" x14ac:dyDescent="0.35">
      <c r="A261" s="104" t="s">
        <v>321</v>
      </c>
      <c r="B261" s="105"/>
      <c r="C261" s="105"/>
    </row>
    <row r="262" spans="1:3" x14ac:dyDescent="0.35">
      <c r="A262" s="106" t="s">
        <v>322</v>
      </c>
      <c r="B262" s="107">
        <v>789</v>
      </c>
      <c r="C262" s="107">
        <v>8530</v>
      </c>
    </row>
    <row r="263" spans="1:3" x14ac:dyDescent="0.35">
      <c r="A263" s="104" t="s">
        <v>323</v>
      </c>
      <c r="B263" s="105"/>
      <c r="C263" s="105"/>
    </row>
    <row r="264" spans="1:3" x14ac:dyDescent="0.35">
      <c r="A264" s="106" t="s">
        <v>496</v>
      </c>
      <c r="B264" s="114">
        <v>-11</v>
      </c>
      <c r="C264" s="110">
        <v>9</v>
      </c>
    </row>
    <row r="265" spans="1:3" ht="26" x14ac:dyDescent="0.35">
      <c r="A265" s="111" t="s">
        <v>324</v>
      </c>
      <c r="B265" s="116">
        <v>778</v>
      </c>
      <c r="C265" s="116">
        <v>8539</v>
      </c>
    </row>
    <row r="266" spans="1:3" x14ac:dyDescent="0.35">
      <c r="A266" s="106" t="s">
        <v>327</v>
      </c>
      <c r="B266" s="107">
        <v>778</v>
      </c>
      <c r="C266" s="107">
        <v>8539</v>
      </c>
    </row>
    <row r="267" spans="1:3" x14ac:dyDescent="0.35">
      <c r="A267" s="106" t="s">
        <v>85</v>
      </c>
      <c r="B267" s="107">
        <v>778</v>
      </c>
      <c r="C267" s="107">
        <v>8539</v>
      </c>
    </row>
    <row r="268" spans="1:3" x14ac:dyDescent="0.35">
      <c r="A268" s="104" t="s">
        <v>328</v>
      </c>
      <c r="B268" s="105"/>
      <c r="C268" s="105"/>
    </row>
    <row r="269" spans="1:3" x14ac:dyDescent="0.35">
      <c r="A269" s="111" t="s">
        <v>330</v>
      </c>
      <c r="B269" s="116">
        <v>778</v>
      </c>
      <c r="C269" s="116">
        <v>8539</v>
      </c>
    </row>
    <row r="270" spans="1:3" x14ac:dyDescent="0.35">
      <c r="A270" s="104" t="s">
        <v>331</v>
      </c>
      <c r="B270" s="105"/>
      <c r="C270" s="105"/>
    </row>
    <row r="271" spans="1:3" x14ac:dyDescent="0.35">
      <c r="A271" s="106" t="s">
        <v>332</v>
      </c>
      <c r="B271" s="107">
        <v>778</v>
      </c>
      <c r="C271" s="107">
        <v>8539</v>
      </c>
    </row>
    <row r="272" spans="1:3" x14ac:dyDescent="0.35">
      <c r="A272" s="106" t="s">
        <v>333</v>
      </c>
      <c r="B272" s="109">
        <v>0</v>
      </c>
      <c r="C272" s="109">
        <v>0</v>
      </c>
    </row>
    <row r="273" spans="1:3" ht="26" x14ac:dyDescent="0.35">
      <c r="A273" s="106" t="s">
        <v>334</v>
      </c>
      <c r="B273" s="110">
        <v>33</v>
      </c>
      <c r="C273" s="110">
        <v>4</v>
      </c>
    </row>
    <row r="274" spans="1:3" x14ac:dyDescent="0.35">
      <c r="A274" s="106" t="s">
        <v>335</v>
      </c>
      <c r="B274" s="107">
        <v>142</v>
      </c>
      <c r="C274" s="110">
        <v>92</v>
      </c>
    </row>
    <row r="275" spans="1:3" x14ac:dyDescent="0.35">
      <c r="A275" s="106" t="s">
        <v>336</v>
      </c>
      <c r="B275" s="110">
        <v>3</v>
      </c>
      <c r="C275" s="110">
        <v>6</v>
      </c>
    </row>
    <row r="276" spans="1:3" x14ac:dyDescent="0.35">
      <c r="A276" s="106" t="s">
        <v>338</v>
      </c>
      <c r="B276" s="107">
        <v>178</v>
      </c>
      <c r="C276" s="107">
        <v>102</v>
      </c>
    </row>
    <row r="277" spans="1:3" x14ac:dyDescent="0.35">
      <c r="A277" s="111" t="s">
        <v>339</v>
      </c>
      <c r="B277" s="116">
        <v>956</v>
      </c>
      <c r="C277" s="116">
        <v>8641</v>
      </c>
    </row>
    <row r="278" spans="1:3" ht="26" x14ac:dyDescent="0.35">
      <c r="A278" s="106" t="s">
        <v>340</v>
      </c>
      <c r="B278" s="107">
        <v>956</v>
      </c>
      <c r="C278" s="107">
        <v>8641</v>
      </c>
    </row>
    <row r="279" spans="1:3" x14ac:dyDescent="0.35">
      <c r="A279" s="104" t="s">
        <v>341</v>
      </c>
      <c r="B279" s="105"/>
      <c r="C279" s="105"/>
    </row>
    <row r="280" spans="1:3" ht="26" x14ac:dyDescent="0.35">
      <c r="A280" s="106" t="s">
        <v>342</v>
      </c>
      <c r="B280" s="107">
        <v>778</v>
      </c>
      <c r="C280" s="107">
        <v>8539</v>
      </c>
    </row>
    <row r="281" spans="1:3" ht="26" x14ac:dyDescent="0.35">
      <c r="A281" s="108" t="s">
        <v>343</v>
      </c>
      <c r="B281" s="107">
        <v>778</v>
      </c>
      <c r="C281" s="107">
        <v>8539</v>
      </c>
    </row>
    <row r="282" spans="1:3" x14ac:dyDescent="0.35">
      <c r="A282" s="108" t="s">
        <v>344</v>
      </c>
      <c r="B282" s="107">
        <v>1105</v>
      </c>
      <c r="C282" s="107">
        <v>1116</v>
      </c>
    </row>
    <row r="283" spans="1:3" ht="26" x14ac:dyDescent="0.35">
      <c r="A283" s="108" t="s">
        <v>345</v>
      </c>
      <c r="B283" s="110">
        <v>0.7</v>
      </c>
      <c r="C283" s="110">
        <v>7.65</v>
      </c>
    </row>
    <row r="284" spans="1:3" ht="26" x14ac:dyDescent="0.35">
      <c r="A284" s="108" t="s">
        <v>346</v>
      </c>
      <c r="B284" s="110">
        <v>0.7</v>
      </c>
      <c r="C284" s="110">
        <v>7.65</v>
      </c>
    </row>
    <row r="285" spans="1:3" ht="26" x14ac:dyDescent="0.35">
      <c r="A285" s="108" t="s">
        <v>347</v>
      </c>
      <c r="B285" s="110">
        <v>0.55000000000000004</v>
      </c>
      <c r="C285" s="110">
        <v>7.8</v>
      </c>
    </row>
    <row r="286" spans="1:3" ht="26" x14ac:dyDescent="0.35">
      <c r="A286" s="106" t="s">
        <v>348</v>
      </c>
      <c r="B286" s="107">
        <v>778</v>
      </c>
      <c r="C286" s="107">
        <v>8539</v>
      </c>
    </row>
    <row r="287" spans="1:3" x14ac:dyDescent="0.35">
      <c r="A287" s="106" t="s">
        <v>349</v>
      </c>
      <c r="B287" s="110">
        <v>1</v>
      </c>
      <c r="C287" s="110">
        <v>1</v>
      </c>
    </row>
    <row r="288" spans="1:3" x14ac:dyDescent="0.35">
      <c r="A288" s="108" t="s">
        <v>350</v>
      </c>
      <c r="B288" s="107">
        <v>1105</v>
      </c>
      <c r="C288" s="107">
        <v>1116</v>
      </c>
    </row>
    <row r="289" spans="1:3" ht="26" x14ac:dyDescent="0.35">
      <c r="A289" s="108" t="s">
        <v>351</v>
      </c>
      <c r="B289" s="110">
        <v>0.7</v>
      </c>
      <c r="C289" s="110">
        <v>7.65</v>
      </c>
    </row>
    <row r="290" spans="1:3" ht="26" x14ac:dyDescent="0.35">
      <c r="A290" s="108" t="s">
        <v>352</v>
      </c>
      <c r="B290" s="110">
        <v>0.7</v>
      </c>
      <c r="C290" s="110">
        <v>7.65</v>
      </c>
    </row>
    <row r="291" spans="1:3" ht="26" x14ac:dyDescent="0.35">
      <c r="A291" s="108" t="s">
        <v>353</v>
      </c>
      <c r="B291" s="110">
        <v>0.55000000000000004</v>
      </c>
      <c r="C291" s="110">
        <v>7.8</v>
      </c>
    </row>
    <row r="292" spans="1:3" ht="26" x14ac:dyDescent="0.35">
      <c r="A292" s="106" t="s">
        <v>354</v>
      </c>
      <c r="B292" s="109">
        <v>0</v>
      </c>
      <c r="C292" s="109">
        <v>0</v>
      </c>
    </row>
    <row r="293" spans="1:3" x14ac:dyDescent="0.35">
      <c r="A293" s="106" t="s">
        <v>355</v>
      </c>
      <c r="B293" s="110">
        <v>0.87</v>
      </c>
      <c r="C293" s="110">
        <v>7.74</v>
      </c>
    </row>
    <row r="294" spans="1:3" x14ac:dyDescent="0.35">
      <c r="A294" s="104" t="s">
        <v>356</v>
      </c>
      <c r="B294" s="105"/>
      <c r="C294" s="105"/>
    </row>
    <row r="295" spans="1:3" ht="26" x14ac:dyDescent="0.35">
      <c r="A295" s="106" t="s">
        <v>357</v>
      </c>
      <c r="B295" s="107">
        <v>778</v>
      </c>
      <c r="C295" s="107">
        <v>8539</v>
      </c>
    </row>
    <row r="296" spans="1:3" ht="26" x14ac:dyDescent="0.35">
      <c r="A296" s="108" t="s">
        <v>358</v>
      </c>
      <c r="B296" s="107">
        <v>778</v>
      </c>
      <c r="C296" s="107">
        <v>8539</v>
      </c>
    </row>
    <row r="297" spans="1:3" x14ac:dyDescent="0.35">
      <c r="A297" s="108" t="s">
        <v>359</v>
      </c>
      <c r="B297" s="107">
        <v>1118</v>
      </c>
      <c r="C297" s="107">
        <v>1125</v>
      </c>
    </row>
    <row r="298" spans="1:3" ht="26" x14ac:dyDescent="0.35">
      <c r="A298" s="108" t="s">
        <v>360</v>
      </c>
      <c r="B298" s="110">
        <v>0.7</v>
      </c>
      <c r="C298" s="110">
        <v>7.59</v>
      </c>
    </row>
    <row r="299" spans="1:3" ht="26" x14ac:dyDescent="0.35">
      <c r="A299" s="108" t="s">
        <v>361</v>
      </c>
      <c r="B299" s="110">
        <v>0.7</v>
      </c>
      <c r="C299" s="110">
        <v>7.59</v>
      </c>
    </row>
    <row r="300" spans="1:3" ht="26" x14ac:dyDescent="0.35">
      <c r="A300" s="108" t="s">
        <v>362</v>
      </c>
      <c r="B300" s="110">
        <v>0.55000000000000004</v>
      </c>
      <c r="C300" s="110">
        <v>7.74</v>
      </c>
    </row>
    <row r="301" spans="1:3" ht="26" x14ac:dyDescent="0.35">
      <c r="A301" s="106" t="s">
        <v>363</v>
      </c>
      <c r="B301" s="107">
        <v>778</v>
      </c>
      <c r="C301" s="107">
        <v>8539</v>
      </c>
    </row>
    <row r="302" spans="1:3" x14ac:dyDescent="0.35">
      <c r="A302" s="106" t="s">
        <v>364</v>
      </c>
      <c r="B302" s="110">
        <v>1</v>
      </c>
      <c r="C302" s="110">
        <v>1</v>
      </c>
    </row>
    <row r="303" spans="1:3" x14ac:dyDescent="0.35">
      <c r="A303" s="108" t="s">
        <v>365</v>
      </c>
      <c r="B303" s="107">
        <v>1118</v>
      </c>
      <c r="C303" s="107">
        <v>1125</v>
      </c>
    </row>
    <row r="304" spans="1:3" ht="26" x14ac:dyDescent="0.35">
      <c r="A304" s="108" t="s">
        <v>366</v>
      </c>
      <c r="B304" s="110">
        <v>0.7</v>
      </c>
      <c r="C304" s="110">
        <v>7.59</v>
      </c>
    </row>
    <row r="305" spans="1:3" ht="26" x14ac:dyDescent="0.35">
      <c r="A305" s="108" t="s">
        <v>367</v>
      </c>
      <c r="B305" s="110">
        <v>0.7</v>
      </c>
      <c r="C305" s="110">
        <v>7.59</v>
      </c>
    </row>
    <row r="306" spans="1:3" ht="26" x14ac:dyDescent="0.35">
      <c r="A306" s="108" t="s">
        <v>368</v>
      </c>
      <c r="B306" s="110">
        <v>0.55000000000000004</v>
      </c>
      <c r="C306" s="110">
        <v>7.74</v>
      </c>
    </row>
    <row r="307" spans="1:3" ht="26" x14ac:dyDescent="0.35">
      <c r="A307" s="106" t="s">
        <v>369</v>
      </c>
      <c r="B307" s="109">
        <v>0</v>
      </c>
      <c r="C307" s="109">
        <v>0</v>
      </c>
    </row>
    <row r="308" spans="1:3" ht="26" x14ac:dyDescent="0.35">
      <c r="A308" s="106" t="s">
        <v>370</v>
      </c>
      <c r="B308" s="110">
        <v>0.86</v>
      </c>
      <c r="C308" s="110">
        <v>7.68</v>
      </c>
    </row>
    <row r="309" spans="1:3" x14ac:dyDescent="0.35">
      <c r="A309" s="104" t="s">
        <v>371</v>
      </c>
      <c r="B309" s="105"/>
      <c r="C309" s="105"/>
    </row>
    <row r="310" spans="1:3" x14ac:dyDescent="0.35">
      <c r="A310" s="106" t="s">
        <v>372</v>
      </c>
      <c r="B310" s="110">
        <v>0.46</v>
      </c>
      <c r="C310" s="110">
        <v>0.46</v>
      </c>
    </row>
    <row r="311" spans="1:3" x14ac:dyDescent="0.35">
      <c r="A311" s="106" t="s">
        <v>373</v>
      </c>
      <c r="B311" s="110">
        <v>0.46</v>
      </c>
      <c r="C311" s="110">
        <v>0.46</v>
      </c>
    </row>
    <row r="312" spans="1:3" x14ac:dyDescent="0.35">
      <c r="A312" s="104" t="s">
        <v>374</v>
      </c>
      <c r="B312" s="105"/>
      <c r="C312" s="105"/>
    </row>
    <row r="313" spans="1:3" x14ac:dyDescent="0.35">
      <c r="A313" s="106" t="s">
        <v>78</v>
      </c>
      <c r="B313" s="107">
        <v>1046</v>
      </c>
      <c r="C313" s="107">
        <v>9866</v>
      </c>
    </row>
    <row r="314" spans="1:3" ht="26" x14ac:dyDescent="0.35">
      <c r="A314" s="106" t="s">
        <v>80</v>
      </c>
      <c r="B314" s="107">
        <v>8830</v>
      </c>
      <c r="C314" s="109">
        <v>18258</v>
      </c>
    </row>
    <row r="315" spans="1:3" ht="26" x14ac:dyDescent="0.35">
      <c r="A315" s="106" t="s">
        <v>376</v>
      </c>
      <c r="B315" s="107">
        <v>8970</v>
      </c>
      <c r="C315" s="109">
        <v>18411</v>
      </c>
    </row>
    <row r="316" spans="1:3" x14ac:dyDescent="0.35">
      <c r="A316" s="104" t="s">
        <v>377</v>
      </c>
      <c r="B316" s="105"/>
      <c r="C316" s="105"/>
    </row>
    <row r="317" spans="1:3" x14ac:dyDescent="0.35">
      <c r="A317" s="106" t="s">
        <v>378</v>
      </c>
      <c r="B317" s="107">
        <v>7784</v>
      </c>
      <c r="C317" s="107">
        <v>8392</v>
      </c>
    </row>
    <row r="318" spans="1:3" x14ac:dyDescent="0.35">
      <c r="A318" s="108" t="s">
        <v>379</v>
      </c>
      <c r="B318" s="107">
        <v>7700</v>
      </c>
      <c r="C318" s="107">
        <v>8280</v>
      </c>
    </row>
    <row r="319" spans="1:3" ht="26" x14ac:dyDescent="0.35">
      <c r="A319" s="108" t="s">
        <v>380</v>
      </c>
      <c r="B319" s="107">
        <v>176</v>
      </c>
      <c r="C319" s="107">
        <v>335</v>
      </c>
    </row>
    <row r="320" spans="1:3" x14ac:dyDescent="0.35">
      <c r="A320" s="108" t="s">
        <v>477</v>
      </c>
      <c r="B320" s="110">
        <v>84</v>
      </c>
      <c r="C320" s="107">
        <v>112</v>
      </c>
    </row>
    <row r="321" spans="1:3" x14ac:dyDescent="0.35">
      <c r="A321" s="108" t="s">
        <v>497</v>
      </c>
      <c r="B321" s="110">
        <v>84</v>
      </c>
      <c r="C321" s="107">
        <v>112</v>
      </c>
    </row>
    <row r="322" spans="1:3" x14ac:dyDescent="0.35">
      <c r="A322" s="104" t="s">
        <v>381</v>
      </c>
      <c r="B322" s="105"/>
      <c r="C322" s="105"/>
    </row>
    <row r="323" spans="1:3" x14ac:dyDescent="0.35">
      <c r="A323" s="106" t="s">
        <v>79</v>
      </c>
      <c r="B323" s="107">
        <v>7784</v>
      </c>
      <c r="C323" s="107">
        <v>8392</v>
      </c>
    </row>
    <row r="324" spans="1:3" x14ac:dyDescent="0.35">
      <c r="A324" s="108" t="s">
        <v>382</v>
      </c>
      <c r="B324" s="107">
        <v>7700</v>
      </c>
      <c r="C324" s="107">
        <v>8280</v>
      </c>
    </row>
    <row r="325" spans="1:3" ht="26" x14ac:dyDescent="0.35">
      <c r="A325" s="108" t="s">
        <v>498</v>
      </c>
      <c r="B325" s="110">
        <v>84</v>
      </c>
      <c r="C325" s="107">
        <v>112</v>
      </c>
    </row>
    <row r="326" spans="1:3" x14ac:dyDescent="0.35">
      <c r="A326" s="104" t="s">
        <v>383</v>
      </c>
      <c r="B326" s="105"/>
      <c r="C326" s="105"/>
    </row>
    <row r="327" spans="1:3" ht="26" x14ac:dyDescent="0.35">
      <c r="A327" s="106" t="s">
        <v>384</v>
      </c>
      <c r="B327" s="107">
        <v>3430</v>
      </c>
      <c r="C327" s="107">
        <v>3798</v>
      </c>
    </row>
    <row r="328" spans="1:3" x14ac:dyDescent="0.35">
      <c r="A328" s="108" t="s">
        <v>72</v>
      </c>
      <c r="B328" s="107">
        <v>3430</v>
      </c>
      <c r="C328" s="107">
        <v>3798</v>
      </c>
    </row>
    <row r="329" spans="1:3" x14ac:dyDescent="0.35">
      <c r="A329" s="104" t="s">
        <v>385</v>
      </c>
      <c r="B329" s="105"/>
      <c r="C329" s="105"/>
    </row>
    <row r="330" spans="1:3" x14ac:dyDescent="0.35">
      <c r="A330" s="106" t="s">
        <v>386</v>
      </c>
      <c r="B330" s="109"/>
      <c r="C330" s="109"/>
    </row>
    <row r="331" spans="1:3" ht="26" x14ac:dyDescent="0.35">
      <c r="A331" s="108" t="s">
        <v>387</v>
      </c>
      <c r="B331" s="107">
        <v>693</v>
      </c>
      <c r="C331" s="107">
        <v>812</v>
      </c>
    </row>
    <row r="332" spans="1:3" ht="26" x14ac:dyDescent="0.35">
      <c r="A332" s="108" t="s">
        <v>388</v>
      </c>
      <c r="B332" s="107">
        <v>833</v>
      </c>
      <c r="C332" s="107">
        <v>975</v>
      </c>
    </row>
    <row r="333" spans="1:3" x14ac:dyDescent="0.35">
      <c r="A333" s="108" t="s">
        <v>389</v>
      </c>
      <c r="B333" s="107">
        <v>140</v>
      </c>
      <c r="C333" s="107">
        <v>163</v>
      </c>
    </row>
    <row r="334" spans="1:3" x14ac:dyDescent="0.35">
      <c r="A334" s="104" t="s">
        <v>390</v>
      </c>
      <c r="B334" s="105"/>
      <c r="C334" s="105"/>
    </row>
    <row r="335" spans="1:3" x14ac:dyDescent="0.35">
      <c r="A335" s="106" t="s">
        <v>390</v>
      </c>
      <c r="B335" s="110">
        <v>10.7</v>
      </c>
      <c r="C335" s="110">
        <v>11.7</v>
      </c>
    </row>
    <row r="336" spans="1:3" x14ac:dyDescent="0.35">
      <c r="A336" s="108" t="s">
        <v>391</v>
      </c>
      <c r="B336" s="110">
        <v>9.3000000000000007</v>
      </c>
      <c r="C336" s="110">
        <v>10.7</v>
      </c>
    </row>
    <row r="337" spans="1:3" x14ac:dyDescent="0.35">
      <c r="A337" s="108" t="s">
        <v>392</v>
      </c>
      <c r="B337" s="110">
        <v>1.4</v>
      </c>
      <c r="C337" s="110">
        <v>1</v>
      </c>
    </row>
    <row r="338" spans="1:3" x14ac:dyDescent="0.35">
      <c r="A338" s="104" t="s">
        <v>393</v>
      </c>
      <c r="B338" s="105"/>
      <c r="C338" s="105"/>
    </row>
    <row r="339" spans="1:3" x14ac:dyDescent="0.35">
      <c r="A339" s="106" t="s">
        <v>394</v>
      </c>
      <c r="B339" s="107">
        <v>622</v>
      </c>
      <c r="C339" s="107">
        <v>8695</v>
      </c>
    </row>
    <row r="340" spans="1:3" x14ac:dyDescent="0.35">
      <c r="A340" s="106" t="s">
        <v>395</v>
      </c>
      <c r="B340" s="107">
        <v>611</v>
      </c>
      <c r="C340" s="107">
        <v>8704</v>
      </c>
    </row>
    <row r="341" spans="1:3" x14ac:dyDescent="0.35">
      <c r="A341" s="106" t="s">
        <v>396</v>
      </c>
      <c r="B341" s="107">
        <v>611</v>
      </c>
      <c r="C341" s="107">
        <v>8704</v>
      </c>
    </row>
    <row r="342" spans="1:3" x14ac:dyDescent="0.35">
      <c r="A342" s="106" t="s">
        <v>397</v>
      </c>
      <c r="B342" s="107">
        <v>1106</v>
      </c>
      <c r="C342" s="107">
        <v>9800</v>
      </c>
    </row>
    <row r="343" spans="1:3" ht="26" x14ac:dyDescent="0.35">
      <c r="A343" s="106" t="s">
        <v>398</v>
      </c>
      <c r="B343" s="107">
        <v>8890</v>
      </c>
      <c r="C343" s="109">
        <v>18192</v>
      </c>
    </row>
    <row r="344" spans="1:3" x14ac:dyDescent="0.35">
      <c r="A344" s="104" t="s">
        <v>399</v>
      </c>
      <c r="B344" s="105"/>
      <c r="C344" s="105"/>
    </row>
    <row r="345" spans="1:3" x14ac:dyDescent="0.35">
      <c r="A345" s="106" t="s">
        <v>400</v>
      </c>
      <c r="B345" s="107">
        <v>386</v>
      </c>
      <c r="C345" s="107">
        <v>615</v>
      </c>
    </row>
    <row r="346" spans="1:3" x14ac:dyDescent="0.35">
      <c r="A346" s="108" t="s">
        <v>401</v>
      </c>
      <c r="B346" s="107">
        <v>140</v>
      </c>
      <c r="C346" s="107">
        <v>153</v>
      </c>
    </row>
    <row r="347" spans="1:3" ht="26" x14ac:dyDescent="0.35">
      <c r="A347" s="108" t="s">
        <v>402</v>
      </c>
      <c r="B347" s="107">
        <v>176</v>
      </c>
      <c r="C347" s="107">
        <v>335</v>
      </c>
    </row>
    <row r="348" spans="1:3" x14ac:dyDescent="0.35">
      <c r="A348" s="108" t="s">
        <v>403</v>
      </c>
      <c r="B348" s="110">
        <v>70</v>
      </c>
      <c r="C348" s="107">
        <v>127</v>
      </c>
    </row>
    <row r="349" spans="1:3" x14ac:dyDescent="0.35">
      <c r="A349" s="104" t="s">
        <v>82</v>
      </c>
      <c r="B349" s="105"/>
      <c r="C349" s="105"/>
    </row>
    <row r="350" spans="1:3" x14ac:dyDescent="0.35">
      <c r="A350" s="106" t="s">
        <v>405</v>
      </c>
      <c r="B350" s="107">
        <v>140</v>
      </c>
      <c r="C350" s="107">
        <v>153</v>
      </c>
    </row>
    <row r="351" spans="1:3" ht="26" x14ac:dyDescent="0.35">
      <c r="A351" s="106" t="s">
        <v>406</v>
      </c>
      <c r="B351" s="109">
        <v>19498</v>
      </c>
      <c r="C351" s="109">
        <v>22505</v>
      </c>
    </row>
    <row r="352" spans="1:3" x14ac:dyDescent="0.35">
      <c r="A352" s="106" t="s">
        <v>407</v>
      </c>
      <c r="B352" s="109">
        <v>19498</v>
      </c>
      <c r="C352" s="109">
        <v>22505</v>
      </c>
    </row>
    <row r="353" spans="1:3" x14ac:dyDescent="0.35">
      <c r="A353" s="106" t="s">
        <v>408</v>
      </c>
      <c r="B353" s="107">
        <v>562</v>
      </c>
      <c r="C353" s="107">
        <v>477</v>
      </c>
    </row>
    <row r="354" spans="1:3" x14ac:dyDescent="0.35">
      <c r="A354" s="106" t="s">
        <v>280</v>
      </c>
      <c r="B354" s="109">
        <v>24065</v>
      </c>
      <c r="C354" s="109">
        <v>27512</v>
      </c>
    </row>
    <row r="355" spans="1:3" ht="26" x14ac:dyDescent="0.35">
      <c r="A355" s="106" t="s">
        <v>70</v>
      </c>
      <c r="B355" s="107">
        <v>1129</v>
      </c>
      <c r="C355" s="107">
        <v>1205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P78"/>
  <sheetViews>
    <sheetView zoomScale="105" workbookViewId="0">
      <selection activeCell="M70" sqref="M70"/>
    </sheetView>
  </sheetViews>
  <sheetFormatPr defaultRowHeight="14.5" x14ac:dyDescent="0.35"/>
  <cols>
    <col min="2" max="2" width="46" customWidth="1"/>
    <col min="3" max="7" width="20.6328125" customWidth="1"/>
    <col min="11" max="11" width="46" customWidth="1"/>
    <col min="12" max="15" width="20.6328125" customWidth="1"/>
  </cols>
  <sheetData>
    <row r="2" spans="2:15" x14ac:dyDescent="0.35">
      <c r="C2" s="68" t="s">
        <v>86</v>
      </c>
      <c r="D2" s="68" t="str">
        <f>L2</f>
        <v>Eli Lilly</v>
      </c>
      <c r="E2" s="68" t="str">
        <f t="shared" ref="E2" si="0">M2</f>
        <v>J&amp;J</v>
      </c>
      <c r="F2" s="68" t="str">
        <f>N2</f>
        <v>Merck</v>
      </c>
      <c r="G2" s="68" t="str">
        <f>O2</f>
        <v>Roche</v>
      </c>
      <c r="L2" s="65" t="s">
        <v>603</v>
      </c>
      <c r="M2" s="65" t="s">
        <v>604</v>
      </c>
      <c r="N2" s="65" t="s">
        <v>605</v>
      </c>
      <c r="O2" s="65" t="s">
        <v>606</v>
      </c>
    </row>
    <row r="3" spans="2:15" x14ac:dyDescent="0.35">
      <c r="K3" s="60"/>
      <c r="L3" s="60"/>
      <c r="M3" s="60"/>
      <c r="N3" s="60"/>
      <c r="O3" s="60"/>
    </row>
    <row r="4" spans="2:15" x14ac:dyDescent="0.35">
      <c r="B4" s="74" t="s">
        <v>8</v>
      </c>
      <c r="C4" s="74"/>
      <c r="D4" s="68" t="s">
        <v>92</v>
      </c>
      <c r="E4" s="68" t="s">
        <v>92</v>
      </c>
      <c r="F4" s="68" t="s">
        <v>92</v>
      </c>
      <c r="G4" s="68"/>
      <c r="K4" s="74" t="s">
        <v>8</v>
      </c>
      <c r="L4" s="87">
        <v>2025</v>
      </c>
      <c r="M4" s="87">
        <v>2025</v>
      </c>
      <c r="N4" s="87">
        <v>2025</v>
      </c>
      <c r="O4" s="87">
        <v>2025</v>
      </c>
    </row>
    <row r="5" spans="2:15" x14ac:dyDescent="0.35">
      <c r="B5" s="75"/>
      <c r="C5" s="75"/>
      <c r="D5" s="69"/>
      <c r="E5" s="69"/>
      <c r="F5" s="69"/>
      <c r="G5" s="69"/>
      <c r="K5" s="75"/>
      <c r="L5" s="69"/>
      <c r="M5" s="69"/>
      <c r="N5" s="69"/>
      <c r="O5" s="69"/>
    </row>
    <row r="6" spans="2:15" x14ac:dyDescent="0.35">
      <c r="B6" s="76" t="s">
        <v>12</v>
      </c>
      <c r="C6" s="82">
        <f ca="1">IFERROR(AVERAGE(D6:G6),0)</f>
        <v>6.8277686431582704E-2</v>
      </c>
      <c r="D6" s="82">
        <f ca="1">IFERROR(L6/L$18,0)</f>
        <v>6.4618229666773358E-2</v>
      </c>
      <c r="E6" s="82">
        <f ca="1">IFERROR(M6/M$18,0)</f>
        <v>4.6644244766828977E-2</v>
      </c>
      <c r="F6" s="82">
        <f ca="1">IFERROR(N6/N$18,0)</f>
        <v>0.10641795624917803</v>
      </c>
      <c r="G6" s="82">
        <f ca="1">IFERROR(O6/O$18,0)</f>
        <v>5.5430315043550428E-2</v>
      </c>
      <c r="I6" s="4"/>
      <c r="K6" s="76" t="s">
        <v>12</v>
      </c>
      <c r="L6" s="70">
        <f ca="1">SUMIF(INDIRECT("'"&amp;L$2&amp;"'!$A$1:$A$500"),$K6,INDIRECT("'"&amp;L$2&amp;"'!$C$1:$C$500"))</f>
        <v>7268</v>
      </c>
      <c r="M6" s="70">
        <f t="shared" ref="M6:O9" ca="1" si="1">SUMIF(INDIRECT("'"&amp;M$2&amp;"'!$A$1:$A$500"),$K6,INDIRECT("'"&amp;M$2&amp;"'!$C$1:$C$500"))</f>
        <v>9292</v>
      </c>
      <c r="N6" s="70">
        <f t="shared" ca="1" si="1"/>
        <v>14565</v>
      </c>
      <c r="O6" s="70">
        <f t="shared" ca="1" si="1"/>
        <v>7045.31</v>
      </c>
    </row>
    <row r="7" spans="2:15" x14ac:dyDescent="0.35">
      <c r="B7" s="76" t="s">
        <v>14</v>
      </c>
      <c r="C7" s="82">
        <f t="shared" ref="C7:C33" ca="1" si="2">IFERROR(AVERAGE(D7:G7),0)</f>
        <v>3.8361787599891381E-2</v>
      </c>
      <c r="D7" s="82">
        <f ca="1">IFERROR(L7/L$18,0)</f>
        <v>9.3353248693054519E-4</v>
      </c>
      <c r="E7" s="82">
        <f t="shared" ref="E7:E11" ca="1" si="3">IFERROR(M7/M$18,0)</f>
        <v>5.4264344159429746E-2</v>
      </c>
      <c r="F7" s="82">
        <f t="shared" ref="F7:G11" ca="1" si="4">IFERROR(N7/N$18,0)</f>
        <v>0</v>
      </c>
      <c r="G7" s="82">
        <f t="shared" ca="1" si="4"/>
        <v>9.8249273753205218E-2</v>
      </c>
      <c r="I7" s="4"/>
      <c r="K7" s="76" t="s">
        <v>14</v>
      </c>
      <c r="L7" s="70">
        <f ca="1">SUMIF(INDIRECT("'"&amp;L$2&amp;"'!$A$1:$A$500"),$K7,INDIRECT("'"&amp;L$2&amp;"'!$C$1:$C$500"))</f>
        <v>105</v>
      </c>
      <c r="M7" s="70">
        <f t="shared" ca="1" si="1"/>
        <v>10810</v>
      </c>
      <c r="N7" s="70">
        <f t="shared" ca="1" si="1"/>
        <v>0</v>
      </c>
      <c r="O7" s="70">
        <f t="shared" ca="1" si="1"/>
        <v>12487.69</v>
      </c>
    </row>
    <row r="8" spans="2:15" x14ac:dyDescent="0.35">
      <c r="B8" s="76" t="s">
        <v>16</v>
      </c>
      <c r="C8" s="82">
        <f t="shared" ca="1" si="2"/>
        <v>0.11083459439478575</v>
      </c>
      <c r="D8" s="82">
        <f ca="1">IFERROR(L8/L$18,0)</f>
        <v>0.15790035207510936</v>
      </c>
      <c r="E8" s="82">
        <f t="shared" ca="1" si="3"/>
        <v>8.623061091310677E-2</v>
      </c>
      <c r="F8" s="82">
        <f t="shared" ca="1" si="4"/>
        <v>8.603305422822323E-2</v>
      </c>
      <c r="G8" s="82">
        <f t="shared" ca="1" si="4"/>
        <v>0.11317436036270367</v>
      </c>
      <c r="I8" s="4"/>
      <c r="K8" s="76" t="s">
        <v>16</v>
      </c>
      <c r="L8" s="70">
        <f ca="1">SUMIF(INDIRECT("'"&amp;L$2&amp;"'!$A$1:$A$500"),$K8,INDIRECT("'"&amp;L$2&amp;"'!$C$1:$C$500"))</f>
        <v>17760</v>
      </c>
      <c r="M8" s="70">
        <f t="shared" ca="1" si="1"/>
        <v>17178</v>
      </c>
      <c r="N8" s="70">
        <f t="shared" ca="1" si="1"/>
        <v>11775</v>
      </c>
      <c r="O8" s="70">
        <f t="shared" ca="1" si="1"/>
        <v>14384.7</v>
      </c>
    </row>
    <row r="9" spans="2:15" x14ac:dyDescent="0.35">
      <c r="B9" s="76" t="s">
        <v>18</v>
      </c>
      <c r="C9" s="82">
        <f t="shared" ca="1" si="2"/>
        <v>7.908634677485081E-2</v>
      </c>
      <c r="D9" s="82">
        <f ca="1">IFERROR(L9/L$18,0)</f>
        <v>0.12219495714641346</v>
      </c>
      <c r="E9" s="82">
        <f t="shared" ca="1" si="3"/>
        <v>7.1236383715676921E-2</v>
      </c>
      <c r="F9" s="82">
        <f t="shared" ca="1" si="4"/>
        <v>4.864612102348282E-2</v>
      </c>
      <c r="G9" s="82">
        <f t="shared" ca="1" si="4"/>
        <v>7.4267925213830063E-2</v>
      </c>
      <c r="I9" s="4"/>
      <c r="K9" s="76" t="s">
        <v>18</v>
      </c>
      <c r="L9" s="70">
        <f ca="1">SUMIF(INDIRECT("'"&amp;L$2&amp;"'!$A$1:$A$500"),$K9,INDIRECT("'"&amp;L$2&amp;"'!$C$1:$C$500"))</f>
        <v>13744</v>
      </c>
      <c r="M9" s="70">
        <f t="shared" ca="1" si="1"/>
        <v>14191</v>
      </c>
      <c r="N9" s="70">
        <f t="shared" ca="1" si="1"/>
        <v>6658</v>
      </c>
      <c r="O9" s="70">
        <f t="shared" ca="1" si="1"/>
        <v>9439.61</v>
      </c>
    </row>
    <row r="10" spans="2:15" x14ac:dyDescent="0.35">
      <c r="B10" s="76" t="s">
        <v>20</v>
      </c>
      <c r="C10" s="82">
        <f t="shared" ca="1" si="2"/>
        <v>7.2524794647406562E-2</v>
      </c>
      <c r="D10" s="82">
        <f ca="1">IFERROR(L10/L$18,0)</f>
        <v>0.14893844020057612</v>
      </c>
      <c r="E10" s="82">
        <f t="shared" ca="1" si="3"/>
        <v>2.0847347020731891E-2</v>
      </c>
      <c r="F10" s="82">
        <f t="shared" ca="1" si="4"/>
        <v>7.6848888694051112E-2</v>
      </c>
      <c r="G10" s="82">
        <f t="shared" ca="1" si="4"/>
        <v>4.3464502674267179E-2</v>
      </c>
      <c r="I10" s="4"/>
      <c r="K10" s="76" t="s">
        <v>20</v>
      </c>
      <c r="L10" s="78">
        <f ca="1">SUMIF(INDIRECT("'"&amp;L$2&amp;"'!$A$1:$A$500"),$K11,INDIRECT("'"&amp;L$2&amp;"'!$C$1:$C$500"))-SUM(L6:L9)</f>
        <v>16752</v>
      </c>
      <c r="M10" s="78">
        <f t="shared" ref="M10:O10" ca="1" si="5">SUMIF(INDIRECT("'"&amp;M$2&amp;"'!$A$1:$A$500"),$K11,INDIRECT("'"&amp;M$2&amp;"'!$C$1:$C$500"))-SUM(M6:M9)</f>
        <v>4153</v>
      </c>
      <c r="N10" s="78">
        <f t="shared" ca="1" si="5"/>
        <v>10518</v>
      </c>
      <c r="O10" s="78">
        <f t="shared" ca="1" si="5"/>
        <v>5524.43</v>
      </c>
    </row>
    <row r="11" spans="2:15" x14ac:dyDescent="0.35">
      <c r="B11" s="77" t="s">
        <v>22</v>
      </c>
      <c r="C11" s="81">
        <f t="shared" ca="1" si="2"/>
        <v>0.36908520984851723</v>
      </c>
      <c r="D11" s="81">
        <f ca="1">IFERROR(L11/L$18,0)</f>
        <v>0.49458551157580283</v>
      </c>
      <c r="E11" s="81">
        <f t="shared" ca="1" si="3"/>
        <v>0.2792229305757743</v>
      </c>
      <c r="F11" s="81">
        <f t="shared" ca="1" si="4"/>
        <v>0.31794602019493517</v>
      </c>
      <c r="G11" s="81">
        <f t="shared" ca="1" si="4"/>
        <v>0.38458637704755649</v>
      </c>
      <c r="I11" s="5"/>
      <c r="K11" s="77" t="s">
        <v>22</v>
      </c>
      <c r="L11" s="73">
        <f ca="1">SUM(L6:L10)</f>
        <v>55629</v>
      </c>
      <c r="M11" s="73">
        <f t="shared" ref="M11:O11" ca="1" si="6">SUM(M6:M10)</f>
        <v>55624</v>
      </c>
      <c r="N11" s="73">
        <f t="shared" ca="1" si="6"/>
        <v>43516</v>
      </c>
      <c r="O11" s="73">
        <f t="shared" ca="1" si="6"/>
        <v>48881.74</v>
      </c>
    </row>
    <row r="12" spans="2:15" x14ac:dyDescent="0.35">
      <c r="B12" s="75"/>
      <c r="C12" s="83"/>
      <c r="D12" s="83"/>
      <c r="E12" s="83"/>
      <c r="F12" s="83"/>
      <c r="G12" s="83"/>
      <c r="K12" s="131" t="s">
        <v>782</v>
      </c>
      <c r="L12" s="132">
        <f ca="1">ROUND(SUMIF(INDIRECT("'"&amp;L$2&amp;"'!$A$1:$A$500"),$K$11,INDIRECT("'"&amp;L$2&amp;"'!$C$1:$C$500"))-L11,2)</f>
        <v>0</v>
      </c>
      <c r="M12" s="132">
        <f t="shared" ref="M12:O12" ca="1" si="7">ROUND(SUMIF(INDIRECT("'"&amp;M$2&amp;"'!$A$1:$A$500"),$K$11,INDIRECT("'"&amp;M$2&amp;"'!$C$1:$C$500"))-M11,2)</f>
        <v>0</v>
      </c>
      <c r="N12" s="132">
        <f t="shared" ca="1" si="7"/>
        <v>0</v>
      </c>
      <c r="O12" s="132">
        <f t="shared" ca="1" si="7"/>
        <v>0</v>
      </c>
    </row>
    <row r="13" spans="2:15" x14ac:dyDescent="0.35">
      <c r="B13" s="76" t="s">
        <v>25</v>
      </c>
      <c r="C13" s="82">
        <f t="shared" ca="1" si="2"/>
        <v>8.8218136676184167E-3</v>
      </c>
      <c r="D13" s="82">
        <f ca="1">IFERROR(L13/L$18,0)</f>
        <v>1.346064938297948E-2</v>
      </c>
      <c r="E13" s="82">
        <f t="shared" ref="D7:E33" ca="1" si="8">IFERROR(M13/M$18,0)</f>
        <v>3.3381858340444759E-3</v>
      </c>
      <c r="F13" s="82">
        <f t="shared" ref="F13:G18" ca="1" si="9">IFERROR(N13/N$18,0)</f>
        <v>1.3056566276504027E-2</v>
      </c>
      <c r="G13" s="82">
        <f t="shared" ca="1" si="9"/>
        <v>5.4318531769456859E-3</v>
      </c>
      <c r="K13" s="76" t="s">
        <v>25</v>
      </c>
      <c r="L13" s="70">
        <f ca="1">SUMIF(INDIRECT("'"&amp;L$2&amp;"'!$A$1:$A$500"),$K13,INDIRECT("'"&amp;L$2&amp;"'!$C$1:$C$500"))</f>
        <v>1514</v>
      </c>
      <c r="M13" s="70">
        <f t="shared" ref="M13:O15" ca="1" si="10">SUMIF(INDIRECT("'"&amp;M$2&amp;"'!$A$1:$A$500"),$K13,INDIRECT("'"&amp;M$2&amp;"'!$C$1:$C$500"))</f>
        <v>665</v>
      </c>
      <c r="N13" s="70">
        <f t="shared" ca="1" si="10"/>
        <v>1787</v>
      </c>
      <c r="O13" s="70">
        <f t="shared" ca="1" si="10"/>
        <v>690.4</v>
      </c>
    </row>
    <row r="14" spans="2:15" x14ac:dyDescent="0.35">
      <c r="B14" s="76" t="s">
        <v>27</v>
      </c>
      <c r="C14" s="82">
        <f t="shared" ca="1" si="2"/>
        <v>0.19428293333743374</v>
      </c>
      <c r="D14" s="82">
        <f ca="1">IFERROR(L14/L$18,0)</f>
        <v>0.23058252427184467</v>
      </c>
      <c r="E14" s="82">
        <f t="shared" ca="1" si="8"/>
        <v>0.12283017920787109</v>
      </c>
      <c r="F14" s="82">
        <f t="shared" ca="1" si="9"/>
        <v>0.19598000964446977</v>
      </c>
      <c r="G14" s="82">
        <f t="shared" ca="1" si="9"/>
        <v>0.2277390202255494</v>
      </c>
      <c r="K14" s="76" t="s">
        <v>27</v>
      </c>
      <c r="L14" s="70">
        <f ca="1">SUMIF(INDIRECT("'"&amp;L$2&amp;"'!$A$1:$A$500"),$K14,INDIRECT("'"&amp;L$2&amp;"'!$C$1:$C$500"))</f>
        <v>25935</v>
      </c>
      <c r="M14" s="70">
        <f t="shared" ca="1" si="10"/>
        <v>24469</v>
      </c>
      <c r="N14" s="70">
        <f t="shared" ca="1" si="10"/>
        <v>26823</v>
      </c>
      <c r="O14" s="70">
        <f t="shared" ca="1" si="10"/>
        <v>28946.11</v>
      </c>
    </row>
    <row r="15" spans="2:15" x14ac:dyDescent="0.35">
      <c r="B15" s="76" t="s">
        <v>29</v>
      </c>
      <c r="C15" s="82">
        <f t="shared" ca="1" si="2"/>
        <v>0.30678050194527828</v>
      </c>
      <c r="D15" s="82">
        <f ca="1">IFERROR(L15/L$18,0)</f>
        <v>0.11041466623990896</v>
      </c>
      <c r="E15" s="82">
        <f t="shared" ca="1" si="8"/>
        <v>0.49784147382159533</v>
      </c>
      <c r="F15" s="82">
        <f t="shared" ca="1" si="9"/>
        <v>0.3526076600470533</v>
      </c>
      <c r="G15" s="82">
        <f t="shared" ca="1" si="9"/>
        <v>0.26625820767255559</v>
      </c>
      <c r="K15" s="76" t="s">
        <v>29</v>
      </c>
      <c r="L15" s="70">
        <f ca="1">SUMIF(INDIRECT("'"&amp;L$2&amp;"'!$A$1:$A$500"),$K15,INDIRECT("'"&amp;L$2&amp;"'!$C$1:$C$500"))</f>
        <v>12419</v>
      </c>
      <c r="M15" s="70">
        <f t="shared" ca="1" si="10"/>
        <v>99175</v>
      </c>
      <c r="N15" s="70">
        <f t="shared" ca="1" si="10"/>
        <v>48260</v>
      </c>
      <c r="O15" s="70">
        <f t="shared" ca="1" si="10"/>
        <v>33841.980000000003</v>
      </c>
    </row>
    <row r="16" spans="2:15" x14ac:dyDescent="0.35">
      <c r="B16" s="76" t="s">
        <v>31</v>
      </c>
      <c r="C16" s="82">
        <f t="shared" ca="1" si="2"/>
        <v>0.12102954120115236</v>
      </c>
      <c r="D16" s="82">
        <f ca="1">IFERROR(L16/L$18,0)</f>
        <v>0.15095664852946405</v>
      </c>
      <c r="E16" s="82">
        <f t="shared" ca="1" si="8"/>
        <v>9.6767230560714818E-2</v>
      </c>
      <c r="F16" s="82">
        <f t="shared" ca="1" si="9"/>
        <v>0.12040974383703769</v>
      </c>
      <c r="G16" s="82">
        <f t="shared" ca="1" si="9"/>
        <v>0.11598454187739285</v>
      </c>
      <c r="K16" s="76" t="s">
        <v>31</v>
      </c>
      <c r="L16" s="78">
        <f ca="1">SUMIF(INDIRECT("'"&amp;L$2&amp;"'!$A$1:$A$500"),$K17,INDIRECT("'"&amp;L$2&amp;"'!$C$1:$C$500"))-SUM(L12:L15)</f>
        <v>16979</v>
      </c>
      <c r="M16" s="78">
        <f t="shared" ref="M16:O16" ca="1" si="11">SUMIF(INDIRECT("'"&amp;M$2&amp;"'!$A$1:$A$500"),$K17,INDIRECT("'"&amp;M$2&amp;"'!$C$1:$C$500"))-SUM(M12:M15)</f>
        <v>19277</v>
      </c>
      <c r="N16" s="78">
        <f t="shared" ca="1" si="11"/>
        <v>16480</v>
      </c>
      <c r="O16" s="78">
        <f t="shared" ca="1" si="11"/>
        <v>14741.87999999999</v>
      </c>
    </row>
    <row r="17" spans="2:15" x14ac:dyDescent="0.35">
      <c r="B17" s="77" t="s">
        <v>33</v>
      </c>
      <c r="C17" s="81">
        <f t="shared" ca="1" si="2"/>
        <v>0.63091479015148277</v>
      </c>
      <c r="D17" s="81">
        <f ca="1">IFERROR(L17/L$18,0)</f>
        <v>0.50541448842419712</v>
      </c>
      <c r="E17" s="81">
        <f t="shared" ca="1" si="8"/>
        <v>0.7207770694242257</v>
      </c>
      <c r="F17" s="81">
        <f t="shared" ca="1" si="9"/>
        <v>0.68205397980506477</v>
      </c>
      <c r="G17" s="81">
        <f t="shared" ca="1" si="9"/>
        <v>0.61541362295244351</v>
      </c>
      <c r="K17" s="77" t="s">
        <v>33</v>
      </c>
      <c r="L17" s="73">
        <f ca="1">SUM(L13:L16)</f>
        <v>56847</v>
      </c>
      <c r="M17" s="73">
        <f t="shared" ref="M17:O17" ca="1" si="12">SUM(M13:M16)</f>
        <v>143586</v>
      </c>
      <c r="N17" s="73">
        <f t="shared" ca="1" si="12"/>
        <v>93350</v>
      </c>
      <c r="O17" s="73">
        <f t="shared" ca="1" si="12"/>
        <v>78220.37</v>
      </c>
    </row>
    <row r="18" spans="2:15" x14ac:dyDescent="0.35">
      <c r="B18" s="77" t="s">
        <v>35</v>
      </c>
      <c r="C18" s="81">
        <f t="shared" ca="1" si="2"/>
        <v>1</v>
      </c>
      <c r="D18" s="81">
        <f ca="1">IFERROR(L18/L$18,0)</f>
        <v>1</v>
      </c>
      <c r="E18" s="81">
        <f t="shared" ca="1" si="8"/>
        <v>1</v>
      </c>
      <c r="F18" s="81">
        <f t="shared" ca="1" si="9"/>
        <v>1</v>
      </c>
      <c r="G18" s="81">
        <f t="shared" ca="1" si="9"/>
        <v>1</v>
      </c>
      <c r="K18" s="77" t="s">
        <v>35</v>
      </c>
      <c r="L18" s="73">
        <f ca="1">L17+L11</f>
        <v>112476</v>
      </c>
      <c r="M18" s="73">
        <f t="shared" ref="M18:O18" ca="1" si="13">M17+M11</f>
        <v>199210</v>
      </c>
      <c r="N18" s="73">
        <f t="shared" ca="1" si="13"/>
        <v>136866</v>
      </c>
      <c r="O18" s="73">
        <f t="shared" ca="1" si="13"/>
        <v>127102.10999999999</v>
      </c>
    </row>
    <row r="19" spans="2:15" x14ac:dyDescent="0.35">
      <c r="B19" s="75"/>
      <c r="C19" s="83"/>
      <c r="D19" s="83"/>
      <c r="E19" s="83"/>
      <c r="F19" s="83"/>
      <c r="G19" s="83"/>
      <c r="K19" s="131" t="s">
        <v>783</v>
      </c>
      <c r="L19" s="132">
        <f ca="1">ROUND(SUMIF(INDIRECT("'"&amp;L$2&amp;"'!$A$1:$A$500"),$K$18,INDIRECT("'"&amp;L$2&amp;"'!$C$1:$C$500"))-L18,2)</f>
        <v>0</v>
      </c>
      <c r="M19" s="132">
        <f t="shared" ref="M19:O19" ca="1" si="14">ROUND(SUMIF(INDIRECT("'"&amp;M$2&amp;"'!$A$1:$A$500"),$K$18,INDIRECT("'"&amp;M$2&amp;"'!$C$1:$C$500"))-M18,2)</f>
        <v>0</v>
      </c>
      <c r="N19" s="132">
        <f t="shared" ca="1" si="14"/>
        <v>0</v>
      </c>
      <c r="O19" s="132">
        <f t="shared" ca="1" si="14"/>
        <v>0</v>
      </c>
    </row>
    <row r="20" spans="2:15" x14ac:dyDescent="0.35">
      <c r="B20" s="76" t="s">
        <v>37</v>
      </c>
      <c r="C20" s="82">
        <f t="shared" ca="1" si="2"/>
        <v>4.5566989628282019E-2</v>
      </c>
      <c r="D20" s="82">
        <f ca="1">IFERROR(L20/L$18,0)</f>
        <v>4.7823535687613355E-2</v>
      </c>
      <c r="E20" s="82">
        <f t="shared" ca="1" si="8"/>
        <v>6.0192761407559858E-2</v>
      </c>
      <c r="F20" s="82">
        <f t="shared" ref="F20:G23" ca="1" si="15">IFERROR(N20/N$18,0)</f>
        <v>3.2177458243829733E-2</v>
      </c>
      <c r="G20" s="82">
        <f t="shared" ca="1" si="15"/>
        <v>4.2074203174125129E-2</v>
      </c>
      <c r="K20" s="76" t="s">
        <v>37</v>
      </c>
      <c r="L20" s="70">
        <f ca="1">SUMIF(INDIRECT("'"&amp;L$2&amp;"'!$A$1:$A$500"),$K20,INDIRECT("'"&amp;L$2&amp;"'!$C$1:$C$500"))</f>
        <v>5379</v>
      </c>
      <c r="M20" s="70">
        <f t="shared" ref="M20:O21" ca="1" si="16">SUMIF(INDIRECT("'"&amp;M$2&amp;"'!$A$1:$A$500"),$K20,INDIRECT("'"&amp;M$2&amp;"'!$C$1:$C$500"))</f>
        <v>11991</v>
      </c>
      <c r="N20" s="70">
        <f t="shared" ca="1" si="16"/>
        <v>4404</v>
      </c>
      <c r="O20" s="70">
        <f t="shared" ca="1" si="16"/>
        <v>5347.72</v>
      </c>
    </row>
    <row r="21" spans="2:15" x14ac:dyDescent="0.35">
      <c r="B21" s="76" t="s">
        <v>39</v>
      </c>
      <c r="C21" s="82">
        <f t="shared" ca="1" si="2"/>
        <v>3.0237708289930096E-2</v>
      </c>
      <c r="D21" s="82">
        <f ca="1">IFERROR(L21/L$18,0)</f>
        <v>1.4536434439347061E-2</v>
      </c>
      <c r="E21" s="82">
        <f t="shared" ca="1" si="8"/>
        <v>4.2643441594297476E-2</v>
      </c>
      <c r="F21" s="82">
        <f t="shared" ca="1" si="15"/>
        <v>1.891631230546666E-2</v>
      </c>
      <c r="G21" s="82">
        <f t="shared" ca="1" si="15"/>
        <v>4.4854644820609198E-2</v>
      </c>
      <c r="K21" s="76" t="s">
        <v>39</v>
      </c>
      <c r="L21" s="70">
        <f ca="1">SUMIF(INDIRECT("'"&amp;L$2&amp;"'!$A$1:$A$500"),$K21,INDIRECT("'"&amp;L$2&amp;"'!$C$1:$C$500"))</f>
        <v>1635</v>
      </c>
      <c r="M21" s="70">
        <f t="shared" ca="1" si="16"/>
        <v>8495</v>
      </c>
      <c r="N21" s="70">
        <f t="shared" ca="1" si="16"/>
        <v>2589</v>
      </c>
      <c r="O21" s="70">
        <f t="shared" ca="1" si="16"/>
        <v>5701.12</v>
      </c>
    </row>
    <row r="22" spans="2:15" x14ac:dyDescent="0.35">
      <c r="B22" s="76" t="s">
        <v>41</v>
      </c>
      <c r="C22" s="82">
        <f t="shared" ca="1" si="2"/>
        <v>0.19167828724474081</v>
      </c>
      <c r="D22" s="82">
        <f ca="1">IFERROR(L22/L$18,0)</f>
        <v>0.25084462463103241</v>
      </c>
      <c r="E22" s="82">
        <f t="shared" ca="1" si="8"/>
        <v>0.16886702474775361</v>
      </c>
      <c r="F22" s="82">
        <f t="shared" ca="1" si="15"/>
        <v>0.15587508950360207</v>
      </c>
      <c r="G22" s="82">
        <f t="shared" ca="1" si="15"/>
        <v>0.19112641009657516</v>
      </c>
      <c r="K22" s="76" t="s">
        <v>41</v>
      </c>
      <c r="L22" s="78">
        <f ca="1">SUMIF(INDIRECT("'"&amp;L$2&amp;"'!$A$1:$A$500"),$K23,INDIRECT("'"&amp;L$2&amp;"'!$C$1:$C$500"))-SUM(L20:L21)</f>
        <v>28214</v>
      </c>
      <c r="M22" s="78">
        <f t="shared" ref="M22:O22" ca="1" si="17">SUMIF(INDIRECT("'"&amp;M$2&amp;"'!$A$1:$A$500"),$K23,INDIRECT("'"&amp;M$2&amp;"'!$C$1:$C$500"))-SUM(M20:M21)</f>
        <v>33640</v>
      </c>
      <c r="N22" s="78">
        <f t="shared" ca="1" si="17"/>
        <v>21334</v>
      </c>
      <c r="O22" s="78">
        <f t="shared" ca="1" si="17"/>
        <v>24292.570000000003</v>
      </c>
    </row>
    <row r="23" spans="2:15" x14ac:dyDescent="0.35">
      <c r="B23" s="77" t="s">
        <v>43</v>
      </c>
      <c r="C23" s="81">
        <f t="shared" ca="1" si="2"/>
        <v>0.26748298516295299</v>
      </c>
      <c r="D23" s="81">
        <f ca="1">IFERROR(L23/L$18,0)</f>
        <v>0.31320459475799284</v>
      </c>
      <c r="E23" s="81">
        <f t="shared" ca="1" si="8"/>
        <v>0.27170322774961098</v>
      </c>
      <c r="F23" s="81">
        <f t="shared" ca="1" si="15"/>
        <v>0.20696886005289847</v>
      </c>
      <c r="G23" s="81">
        <f t="shared" ca="1" si="15"/>
        <v>0.27805525809130949</v>
      </c>
      <c r="K23" s="77" t="s">
        <v>43</v>
      </c>
      <c r="L23" s="73">
        <f ca="1">SUM(L20:L22)</f>
        <v>35228</v>
      </c>
      <c r="M23" s="73">
        <f t="shared" ref="M23:O23" ca="1" si="18">SUM(M20:M22)</f>
        <v>54126</v>
      </c>
      <c r="N23" s="73">
        <f t="shared" ca="1" si="18"/>
        <v>28327</v>
      </c>
      <c r="O23" s="73">
        <f t="shared" ca="1" si="18"/>
        <v>35341.410000000003</v>
      </c>
    </row>
    <row r="24" spans="2:15" x14ac:dyDescent="0.35">
      <c r="B24" s="75"/>
      <c r="C24" s="83"/>
      <c r="D24" s="83"/>
      <c r="E24" s="83"/>
      <c r="F24" s="83"/>
      <c r="G24" s="83"/>
      <c r="K24" s="131" t="s">
        <v>784</v>
      </c>
      <c r="L24" s="132">
        <f ca="1">ROUND(SUMIF(INDIRECT("'"&amp;L$2&amp;"'!$A$1:$A$500"),$K$23,INDIRECT("'"&amp;L$2&amp;"'!$C$1:$C$500"))-L23,2)</f>
        <v>0</v>
      </c>
      <c r="M24" s="132">
        <f t="shared" ref="M24:O24" ca="1" si="19">ROUND(SUMIF(INDIRECT("'"&amp;M$2&amp;"'!$A$1:$A$500"),$K$23,INDIRECT("'"&amp;M$2&amp;"'!$C$1:$C$500"))-M23,2)</f>
        <v>0</v>
      </c>
      <c r="N24" s="132">
        <f t="shared" ca="1" si="19"/>
        <v>0</v>
      </c>
      <c r="O24" s="132">
        <f t="shared" ca="1" si="19"/>
        <v>0</v>
      </c>
    </row>
    <row r="25" spans="2:15" x14ac:dyDescent="0.35">
      <c r="B25" s="76" t="s">
        <v>45</v>
      </c>
      <c r="C25" s="82">
        <f t="shared" ca="1" si="2"/>
        <v>0.29690847399783493</v>
      </c>
      <c r="D25" s="82">
        <f ca="1">IFERROR(L25/L$18,0)</f>
        <v>0.36334862548454783</v>
      </c>
      <c r="E25" s="82">
        <f t="shared" ca="1" si="8"/>
        <v>0.19797198935796395</v>
      </c>
      <c r="F25" s="82">
        <f t="shared" ref="F25:G28" ca="1" si="20">IFERROR(N25/N$18,0)</f>
        <v>0.34157497113965485</v>
      </c>
      <c r="G25" s="82">
        <f t="shared" ca="1" si="20"/>
        <v>0.28473831000917293</v>
      </c>
      <c r="K25" s="76" t="s">
        <v>45</v>
      </c>
      <c r="L25" s="70">
        <f ca="1">SUMIF(INDIRECT("'"&amp;L$2&amp;"'!$A$1:$A$500"),$K25,INDIRECT("'"&amp;L$2&amp;"'!$C$1:$C$500"))</f>
        <v>40868</v>
      </c>
      <c r="M25" s="70">
        <f t="shared" ref="M25:O25" ca="1" si="21">SUMIF(INDIRECT("'"&amp;M$2&amp;"'!$A$1:$A$500"),$K25,INDIRECT("'"&amp;M$2&amp;"'!$C$1:$C$500"))</f>
        <v>39438</v>
      </c>
      <c r="N25" s="70">
        <f t="shared" ca="1" si="21"/>
        <v>46750</v>
      </c>
      <c r="O25" s="70">
        <f t="shared" ca="1" si="21"/>
        <v>36190.839999999997</v>
      </c>
    </row>
    <row r="26" spans="2:15" x14ac:dyDescent="0.35">
      <c r="B26" s="76" t="s">
        <v>47</v>
      </c>
      <c r="C26" s="82">
        <f t="shared" ca="1" si="2"/>
        <v>8.4063526611213177E-2</v>
      </c>
      <c r="D26" s="82">
        <f ca="1">IFERROR(L26/L$18,0)</f>
        <v>8.752978413172588E-2</v>
      </c>
      <c r="E26" s="82">
        <f t="shared" ca="1" si="8"/>
        <v>0.12098790221374429</v>
      </c>
      <c r="F26" s="82">
        <f t="shared" ca="1" si="20"/>
        <v>6.6685663349553573E-2</v>
      </c>
      <c r="G26" s="82">
        <f t="shared" ca="1" si="20"/>
        <v>6.1050756749828947E-2</v>
      </c>
      <c r="K26" s="76" t="s">
        <v>47</v>
      </c>
      <c r="L26" s="78">
        <f ca="1">SUMIF(INDIRECT("'"&amp;L$2&amp;"'!$A$1:$A$500"),$K27,INDIRECT("'"&amp;L$2&amp;"'!$C$1:$C$500"))-L25</f>
        <v>9845</v>
      </c>
      <c r="M26" s="78">
        <f t="shared" ref="M26:O26" ca="1" si="22">SUMIF(INDIRECT("'"&amp;M$2&amp;"'!$A$1:$A$500"),$K27,INDIRECT("'"&amp;M$2&amp;"'!$C$1:$C$500"))-M25</f>
        <v>24102</v>
      </c>
      <c r="N26" s="78">
        <f t="shared" ca="1" si="22"/>
        <v>9127</v>
      </c>
      <c r="O26" s="78">
        <f t="shared" ca="1" si="22"/>
        <v>7759.68</v>
      </c>
    </row>
    <row r="27" spans="2:15" x14ac:dyDescent="0.35">
      <c r="B27" s="77" t="s">
        <v>49</v>
      </c>
      <c r="C27" s="81">
        <f t="shared" ca="1" si="2"/>
        <v>0.38097200060904801</v>
      </c>
      <c r="D27" s="81">
        <f t="shared" ca="1" si="8"/>
        <v>0.45087840961627368</v>
      </c>
      <c r="E27" s="81">
        <f t="shared" ca="1" si="8"/>
        <v>0.31895989157170823</v>
      </c>
      <c r="F27" s="81">
        <f t="shared" ca="1" si="20"/>
        <v>0.40826063448920841</v>
      </c>
      <c r="G27" s="81">
        <f t="shared" ca="1" si="20"/>
        <v>0.3457890667590019</v>
      </c>
      <c r="K27" s="77" t="s">
        <v>49</v>
      </c>
      <c r="L27" s="73">
        <f ca="1">SUM(L25:L26)</f>
        <v>50713</v>
      </c>
      <c r="M27" s="73">
        <f t="shared" ref="M27:O27" ca="1" si="23">SUM(M25:M26)</f>
        <v>63540</v>
      </c>
      <c r="N27" s="73">
        <f t="shared" ca="1" si="23"/>
        <v>55877</v>
      </c>
      <c r="O27" s="73">
        <f t="shared" ca="1" si="23"/>
        <v>43950.52</v>
      </c>
    </row>
    <row r="28" spans="2:15" x14ac:dyDescent="0.35">
      <c r="B28" s="77" t="s">
        <v>51</v>
      </c>
      <c r="C28" s="81">
        <f t="shared" ca="1" si="2"/>
        <v>0.648454985772001</v>
      </c>
      <c r="D28" s="81">
        <f ca="1">IFERROR(L28/L$18,0)</f>
        <v>0.76408300437426646</v>
      </c>
      <c r="E28" s="81">
        <f t="shared" ca="1" si="8"/>
        <v>0.59066311932131921</v>
      </c>
      <c r="F28" s="81">
        <f t="shared" ca="1" si="20"/>
        <v>0.61522949454210685</v>
      </c>
      <c r="G28" s="81">
        <f t="shared" ca="1" si="20"/>
        <v>0.62384432485031127</v>
      </c>
      <c r="K28" s="77" t="s">
        <v>51</v>
      </c>
      <c r="L28" s="73">
        <f ca="1">SUM(L27,L23)</f>
        <v>85941</v>
      </c>
      <c r="M28" s="73">
        <f t="shared" ref="M28:O28" ca="1" si="24">SUM(M27,M23)</f>
        <v>117666</v>
      </c>
      <c r="N28" s="73">
        <f t="shared" ca="1" si="24"/>
        <v>84204</v>
      </c>
      <c r="O28" s="73">
        <f t="shared" ca="1" si="24"/>
        <v>79291.929999999993</v>
      </c>
    </row>
    <row r="29" spans="2:15" x14ac:dyDescent="0.35">
      <c r="B29" s="75"/>
      <c r="C29" s="83"/>
      <c r="D29" s="83"/>
      <c r="E29" s="83"/>
      <c r="F29" s="83"/>
      <c r="G29" s="83"/>
      <c r="K29" s="131" t="s">
        <v>785</v>
      </c>
      <c r="L29" s="132">
        <f ca="1">ROUND(SUMIF(INDIRECT("'"&amp;L$2&amp;"'!$A$1:$A$500"),$K$28,INDIRECT("'"&amp;L$2&amp;"'!$C$1:$C$500"))-L28,2)</f>
        <v>0</v>
      </c>
      <c r="M29" s="132">
        <f t="shared" ref="M29:O29" ca="1" si="25">ROUND(SUMIF(INDIRECT("'"&amp;M$2&amp;"'!$A$1:$A$500"),$K$28,INDIRECT("'"&amp;M$2&amp;"'!$C$1:$C$500"))-M28,2)</f>
        <v>0</v>
      </c>
      <c r="N29" s="132">
        <f t="shared" ca="1" si="25"/>
        <v>0</v>
      </c>
      <c r="O29" s="132">
        <f t="shared" ca="1" si="25"/>
        <v>0</v>
      </c>
    </row>
    <row r="30" spans="2:15" x14ac:dyDescent="0.35">
      <c r="B30" s="76" t="s">
        <v>53</v>
      </c>
      <c r="C30" s="82">
        <f t="shared" ca="1" si="2"/>
        <v>0.34131887594168192</v>
      </c>
      <c r="D30" s="82">
        <f ca="1">IFERROR(L30/L$18,0)</f>
        <v>0.23591699562573348</v>
      </c>
      <c r="E30" s="82">
        <f t="shared" ca="1" si="8"/>
        <v>0.40933688067868079</v>
      </c>
      <c r="F30" s="82">
        <f t="shared" ref="F30:G33" ca="1" si="26">IFERROR(N30/N$18,0)</f>
        <v>0.38436134613417505</v>
      </c>
      <c r="G30" s="82">
        <f t="shared" ca="1" si="26"/>
        <v>0.33566028132813847</v>
      </c>
      <c r="K30" s="76" t="s">
        <v>53</v>
      </c>
      <c r="L30" s="70">
        <f ca="1">SUMIF(INDIRECT("'"&amp;L$2&amp;"'!$A$1:$A$500"),$K30,INDIRECT("'"&amp;L$2&amp;"'!$C$1:$C$500"))</f>
        <v>26535</v>
      </c>
      <c r="M30" s="70">
        <f t="shared" ref="M30:O30" ca="1" si="27">SUMIF(INDIRECT("'"&amp;M$2&amp;"'!$A$1:$A$500"),$K30,INDIRECT("'"&amp;M$2&amp;"'!$C$1:$C$500"))</f>
        <v>81544</v>
      </c>
      <c r="N30" s="70">
        <f t="shared" ca="1" si="27"/>
        <v>52606</v>
      </c>
      <c r="O30" s="70">
        <f t="shared" ca="1" si="27"/>
        <v>42663.13</v>
      </c>
    </row>
    <row r="31" spans="2:15" x14ac:dyDescent="0.35">
      <c r="B31" s="76" t="s">
        <v>55</v>
      </c>
      <c r="C31" s="82">
        <f t="shared" ca="1" si="2"/>
        <v>1.0226118617092083E-2</v>
      </c>
      <c r="D31" s="82">
        <f ca="1">IFERROR(L31/L$18,0)</f>
        <v>0</v>
      </c>
      <c r="E31" s="82">
        <f t="shared" ca="1" si="8"/>
        <v>0</v>
      </c>
      <c r="F31" s="82">
        <f t="shared" ca="1" si="26"/>
        <v>4.091593237180892E-4</v>
      </c>
      <c r="G31" s="82">
        <f t="shared" ca="1" si="26"/>
        <v>4.0495315144650247E-2</v>
      </c>
      <c r="K31" s="76" t="s">
        <v>55</v>
      </c>
      <c r="L31" s="78">
        <f ca="1">SUMIF(INDIRECT("'"&amp;L$2&amp;"'!$A$1:$A$500"),$K32,INDIRECT("'"&amp;L$2&amp;"'!$C$1:$C$500"))-L30</f>
        <v>0</v>
      </c>
      <c r="M31" s="78">
        <f t="shared" ref="M31:O31" ca="1" si="28">SUMIF(INDIRECT("'"&amp;M$2&amp;"'!$A$1:$A$500"),$K32,INDIRECT("'"&amp;M$2&amp;"'!$C$1:$C$500"))-M30</f>
        <v>0</v>
      </c>
      <c r="N31" s="78">
        <f t="shared" ca="1" si="28"/>
        <v>56</v>
      </c>
      <c r="O31" s="78">
        <f t="shared" ca="1" si="28"/>
        <v>5147.0400000000009</v>
      </c>
    </row>
    <row r="32" spans="2:15" ht="29" x14ac:dyDescent="0.35">
      <c r="B32" s="77" t="s">
        <v>57</v>
      </c>
      <c r="C32" s="81">
        <f t="shared" ca="1" si="2"/>
        <v>0.35154499455877403</v>
      </c>
      <c r="D32" s="81">
        <f ca="1">IFERROR(L32/L$18,0)</f>
        <v>0.23591699562573348</v>
      </c>
      <c r="E32" s="81">
        <f t="shared" ca="1" si="8"/>
        <v>0.40933688067868079</v>
      </c>
      <c r="F32" s="81">
        <f t="shared" ca="1" si="26"/>
        <v>0.3847705054578931</v>
      </c>
      <c r="G32" s="81">
        <f t="shared" ca="1" si="26"/>
        <v>0.37615559647278873</v>
      </c>
      <c r="K32" s="77" t="s">
        <v>57</v>
      </c>
      <c r="L32" s="73">
        <f ca="1">SUM(L30:L31)</f>
        <v>26535</v>
      </c>
      <c r="M32" s="73">
        <f t="shared" ref="M32:O32" ca="1" si="29">SUM(M30:M31)</f>
        <v>81544</v>
      </c>
      <c r="N32" s="73">
        <f t="shared" ca="1" si="29"/>
        <v>52662</v>
      </c>
      <c r="O32" s="73">
        <f t="shared" ca="1" si="29"/>
        <v>47810.17</v>
      </c>
    </row>
    <row r="33" spans="2:16" x14ac:dyDescent="0.35">
      <c r="B33" s="77" t="s">
        <v>60</v>
      </c>
      <c r="C33" s="81">
        <f t="shared" ca="1" si="2"/>
        <v>0.99999998033077497</v>
      </c>
      <c r="D33" s="81">
        <f ca="1">IFERROR(L33/L$18,0)</f>
        <v>1</v>
      </c>
      <c r="E33" s="81">
        <f t="shared" ca="1" si="8"/>
        <v>1</v>
      </c>
      <c r="F33" s="81">
        <f t="shared" ca="1" si="26"/>
        <v>1</v>
      </c>
      <c r="G33" s="81">
        <f t="shared" ca="1" si="26"/>
        <v>0.99999992132310001</v>
      </c>
      <c r="K33" s="77" t="s">
        <v>60</v>
      </c>
      <c r="L33" s="73">
        <f ca="1">L32+L28</f>
        <v>112476</v>
      </c>
      <c r="M33" s="73">
        <f t="shared" ref="M33:O33" ca="1" si="30">M32+M28</f>
        <v>199210</v>
      </c>
      <c r="N33" s="73">
        <f t="shared" ca="1" si="30"/>
        <v>136866</v>
      </c>
      <c r="O33" s="73">
        <f t="shared" ca="1" si="30"/>
        <v>127102.09999999999</v>
      </c>
    </row>
    <row r="34" spans="2:16" x14ac:dyDescent="0.35">
      <c r="B34" s="77" t="s">
        <v>93</v>
      </c>
      <c r="C34" s="81"/>
      <c r="D34" s="81"/>
      <c r="E34" s="81"/>
      <c r="F34" s="81"/>
      <c r="G34" s="81"/>
      <c r="K34" s="131" t="s">
        <v>786</v>
      </c>
      <c r="L34" s="132">
        <f ca="1">ROUND(L18-L33,2)</f>
        <v>0</v>
      </c>
      <c r="M34" s="132">
        <f t="shared" ref="M34:O34" ca="1" si="31">ROUND(M18-M33,2)</f>
        <v>0</v>
      </c>
      <c r="N34" s="132">
        <f t="shared" ca="1" si="31"/>
        <v>0</v>
      </c>
      <c r="O34" s="132">
        <f t="shared" ca="1" si="31"/>
        <v>0.01</v>
      </c>
    </row>
    <row r="35" spans="2:16" x14ac:dyDescent="0.35">
      <c r="B35" s="76"/>
      <c r="C35" s="84"/>
      <c r="D35" s="84"/>
      <c r="E35" s="84"/>
      <c r="F35" s="84"/>
      <c r="G35" s="84"/>
      <c r="K35" s="76"/>
      <c r="L35" s="71"/>
      <c r="M35" s="71"/>
      <c r="N35" s="71"/>
      <c r="O35" s="71"/>
    </row>
    <row r="36" spans="2:16" x14ac:dyDescent="0.35">
      <c r="B36" s="74" t="s">
        <v>62</v>
      </c>
      <c r="C36" s="85"/>
      <c r="D36" s="85"/>
      <c r="E36" s="85"/>
      <c r="F36" s="85"/>
      <c r="G36" s="85"/>
      <c r="K36" s="74" t="s">
        <v>62</v>
      </c>
      <c r="L36" s="87">
        <v>2025</v>
      </c>
      <c r="M36" s="87">
        <v>2025</v>
      </c>
      <c r="N36" s="87">
        <v>2025</v>
      </c>
      <c r="O36" s="87">
        <v>2025</v>
      </c>
    </row>
    <row r="37" spans="2:16" x14ac:dyDescent="0.35">
      <c r="B37" s="77" t="s">
        <v>64</v>
      </c>
      <c r="C37" s="81">
        <f t="shared" ref="C37:C52" ca="1" si="32">IFERROR(AVERAGE(D37:G37),0)</f>
        <v>1</v>
      </c>
      <c r="D37" s="81">
        <f ca="1">IFERROR(L37/L$37,0)</f>
        <v>1</v>
      </c>
      <c r="E37" s="81">
        <f t="shared" ref="E37:E52" ca="1" si="33">IFERROR(M37/M$37,0)</f>
        <v>1</v>
      </c>
      <c r="F37" s="81">
        <f t="shared" ref="F37:F52" ca="1" si="34">IFERROR(N37/N$37,0)</f>
        <v>1</v>
      </c>
      <c r="G37" s="81">
        <f t="shared" ref="G37:G52" ca="1" si="35">IFERROR(O37/O$37,0)</f>
        <v>1</v>
      </c>
      <c r="K37" s="77" t="s">
        <v>64</v>
      </c>
      <c r="L37" s="72">
        <f ca="1">SUMIF(INDIRECT("'"&amp;L$2&amp;"'!$A$1:$A$500"),$K37,INDIRECT("'"&amp;L$2&amp;"'!$C$1:$C$500"))</f>
        <v>65179</v>
      </c>
      <c r="M37" s="72">
        <f t="shared" ref="M37:O38" ca="1" si="36">SUMIF(INDIRECT("'"&amp;M$2&amp;"'!$A$1:$A$500"),$K37,INDIRECT("'"&amp;M$2&amp;"'!$C$1:$C$500"))</f>
        <v>94193</v>
      </c>
      <c r="N37" s="72">
        <f t="shared" ca="1" si="36"/>
        <v>65011</v>
      </c>
      <c r="O37" s="72">
        <f t="shared" ca="1" si="36"/>
        <v>74265.73</v>
      </c>
    </row>
    <row r="38" spans="2:16" x14ac:dyDescent="0.35">
      <c r="B38" s="76" t="s">
        <v>66</v>
      </c>
      <c r="C38" s="82">
        <f t="shared" ca="1" si="32"/>
        <v>0.2449251586877344</v>
      </c>
      <c r="D38" s="82">
        <f ca="1">IFERROR(L38/L$37,0)</f>
        <v>0.16956381656668559</v>
      </c>
      <c r="E38" s="82">
        <f t="shared" ca="1" si="33"/>
        <v>0.32024672746382427</v>
      </c>
      <c r="F38" s="82">
        <f t="shared" ca="1" si="34"/>
        <v>0.22916121887065266</v>
      </c>
      <c r="G38" s="82">
        <f t="shared" ca="1" si="35"/>
        <v>0.26072887184977517</v>
      </c>
      <c r="K38" s="76" t="s">
        <v>281</v>
      </c>
      <c r="L38" s="70">
        <f ca="1">SUMIF(INDIRECT("'"&amp;L$2&amp;"'!$A$1:$A$500"),$K38,INDIRECT("'"&amp;L$2&amp;"'!$C$1:$C$500"))</f>
        <v>11052</v>
      </c>
      <c r="M38" s="70">
        <f t="shared" ca="1" si="36"/>
        <v>30165</v>
      </c>
      <c r="N38" s="70">
        <f t="shared" ca="1" si="36"/>
        <v>14898</v>
      </c>
      <c r="O38" s="70">
        <f t="shared" ca="1" si="36"/>
        <v>19363.22</v>
      </c>
      <c r="P38" s="122"/>
    </row>
    <row r="39" spans="2:16" x14ac:dyDescent="0.35">
      <c r="B39" s="77" t="s">
        <v>68</v>
      </c>
      <c r="C39" s="81">
        <f t="shared" ca="1" si="32"/>
        <v>0.75507484131226565</v>
      </c>
      <c r="D39" s="81">
        <f ca="1">IFERROR(L39/L$37,0)</f>
        <v>0.83043618343331438</v>
      </c>
      <c r="E39" s="81">
        <f t="shared" ca="1" si="33"/>
        <v>0.67975327253617568</v>
      </c>
      <c r="F39" s="81">
        <f t="shared" ca="1" si="34"/>
        <v>0.77083878112934734</v>
      </c>
      <c r="G39" s="81">
        <f t="shared" ca="1" si="35"/>
        <v>0.73927112815022489</v>
      </c>
      <c r="K39" s="77" t="s">
        <v>68</v>
      </c>
      <c r="L39" s="73">
        <f ca="1">L37-L38</f>
        <v>54127</v>
      </c>
      <c r="M39" s="73">
        <f t="shared" ref="M39:O39" ca="1" si="37">M37-M38</f>
        <v>64028</v>
      </c>
      <c r="N39" s="73">
        <f t="shared" ca="1" si="37"/>
        <v>50113</v>
      </c>
      <c r="O39" s="73">
        <f t="shared" ca="1" si="37"/>
        <v>54902.509999999995</v>
      </c>
    </row>
    <row r="40" spans="2:16" ht="29" x14ac:dyDescent="0.35">
      <c r="B40" s="76" t="s">
        <v>70</v>
      </c>
      <c r="C40" s="82">
        <f t="shared" ca="1" si="32"/>
        <v>0.20364667444057891</v>
      </c>
      <c r="D40" s="82">
        <f ca="1">IFERROR(L40/L$37,0)</f>
        <v>0.1702081958913147</v>
      </c>
      <c r="E40" s="82">
        <f t="shared" ca="1" si="33"/>
        <v>0.25135625789602201</v>
      </c>
      <c r="F40" s="82">
        <f t="shared" ca="1" si="34"/>
        <v>0.16504899170909537</v>
      </c>
      <c r="G40" s="82">
        <f t="shared" ca="1" si="35"/>
        <v>0.22797325226588361</v>
      </c>
      <c r="K40" s="76" t="s">
        <v>70</v>
      </c>
      <c r="L40" s="70">
        <f ca="1">SUMIF(
INDIRECT("'"&amp;L$2&amp;"'!$A$1:$A$500"),
$K40,
INDIRECT("'"&amp;L$2&amp;"'!$C$1:$C$500")
)</f>
        <v>11094</v>
      </c>
      <c r="M40" s="70">
        <f t="shared" ref="M40:O41" ca="1" si="38">SUMIF(
INDIRECT("'"&amp;M$2&amp;"'!$A$1:$A$500"),
$K40,
INDIRECT("'"&amp;M$2&amp;"'!$C$1:$C$500")
)</f>
        <v>23676</v>
      </c>
      <c r="N40" s="70">
        <f t="shared" ca="1" si="38"/>
        <v>10730</v>
      </c>
      <c r="O40" s="70">
        <f t="shared" ca="1" si="38"/>
        <v>16930.599999999999</v>
      </c>
    </row>
    <row r="41" spans="2:16" x14ac:dyDescent="0.35">
      <c r="B41" s="76" t="s">
        <v>72</v>
      </c>
      <c r="C41" s="82">
        <f t="shared" ca="1" si="32"/>
        <v>0.19678567042067485</v>
      </c>
      <c r="D41" s="82">
        <f ca="1">IFERROR(L41/L$37,0)</f>
        <v>0.20462112029948296</v>
      </c>
      <c r="E41" s="82">
        <f t="shared" ca="1" si="33"/>
        <v>0.1556909749132101</v>
      </c>
      <c r="F41" s="82">
        <f t="shared" ca="1" si="34"/>
        <v>0.22863823045330789</v>
      </c>
      <c r="G41" s="82">
        <f t="shared" ca="1" si="35"/>
        <v>0.19819235601669843</v>
      </c>
      <c r="K41" s="76" t="s">
        <v>72</v>
      </c>
      <c r="L41" s="70">
        <f ca="1">SUMIF(
INDIRECT("'"&amp;L$2&amp;"'!$A$1:$A$500"),
$K41,
INDIRECT("'"&amp;L$2&amp;"'!$C$1:$C$500")
)</f>
        <v>13337</v>
      </c>
      <c r="M41" s="70">
        <f t="shared" ca="1" si="38"/>
        <v>14665</v>
      </c>
      <c r="N41" s="70">
        <f t="shared" ca="1" si="38"/>
        <v>14864</v>
      </c>
      <c r="O41" s="70">
        <f t="shared" ca="1" si="38"/>
        <v>14718.9</v>
      </c>
    </row>
    <row r="42" spans="2:16" x14ac:dyDescent="0.35">
      <c r="B42" s="76" t="s">
        <v>74</v>
      </c>
      <c r="C42" s="82">
        <f t="shared" ca="1" si="32"/>
        <v>-1.3057138697145643E-2</v>
      </c>
      <c r="D42" s="82">
        <f ca="1">IFERROR(L42/L$37,0)</f>
        <v>0</v>
      </c>
      <c r="E42" s="82">
        <f t="shared" ca="1" si="33"/>
        <v>-1.5457624239593177E-2</v>
      </c>
      <c r="F42" s="82">
        <f t="shared" ca="1" si="34"/>
        <v>0</v>
      </c>
      <c r="G42" s="82">
        <f t="shared" ca="1" si="35"/>
        <v>-3.6770930548989396E-2</v>
      </c>
      <c r="K42" s="76" t="s">
        <v>82</v>
      </c>
      <c r="L42" s="78">
        <f ca="1">SUMIF(INDIRECT("'"&amp;L$2&amp;"'!$A$1:$A$500"),$K$43,INDIRECT("'"&amp;L$2&amp;"'!$C$1:$C$500"))-L38-L40-L41</f>
        <v>0</v>
      </c>
      <c r="M42" s="78">
        <f t="shared" ref="M42:O42" ca="1" si="39">SUMIF(INDIRECT("'"&amp;M$2&amp;"'!$A$1:$A$500"),$K$43,INDIRECT("'"&amp;M$2&amp;"'!$C$1:$C$500"))-M38-M40-M41</f>
        <v>-1456</v>
      </c>
      <c r="N42" s="78">
        <f t="shared" ca="1" si="39"/>
        <v>0</v>
      </c>
      <c r="O42" s="78">
        <f t="shared" ca="1" si="39"/>
        <v>-2730.8199999999979</v>
      </c>
    </row>
    <row r="43" spans="2:16" x14ac:dyDescent="0.35">
      <c r="B43" s="77" t="s">
        <v>76</v>
      </c>
      <c r="C43" s="81">
        <f t="shared" ca="1" si="32"/>
        <v>0.63230036485184249</v>
      </c>
      <c r="D43" s="81">
        <f ca="1">IFERROR(L43/L$37,0)</f>
        <v>0.54439313275748324</v>
      </c>
      <c r="E43" s="81">
        <f t="shared" ca="1" si="33"/>
        <v>0.71183633603346319</v>
      </c>
      <c r="F43" s="81">
        <f t="shared" ca="1" si="34"/>
        <v>0.62284844103305592</v>
      </c>
      <c r="G43" s="81">
        <f t="shared" ca="1" si="35"/>
        <v>0.65012354958336782</v>
      </c>
      <c r="K43" s="77" t="s">
        <v>76</v>
      </c>
      <c r="L43" s="73">
        <f ca="1">SUM(L38,L40:L42)</f>
        <v>35483</v>
      </c>
      <c r="M43" s="73">
        <f t="shared" ref="M43:O43" ca="1" si="40">SUM(M38,M40:M42)</f>
        <v>67050</v>
      </c>
      <c r="N43" s="73">
        <f t="shared" ca="1" si="40"/>
        <v>40492</v>
      </c>
      <c r="O43" s="73">
        <f t="shared" ca="1" si="40"/>
        <v>48281.9</v>
      </c>
      <c r="P43" s="122"/>
    </row>
    <row r="44" spans="2:16" x14ac:dyDescent="0.35">
      <c r="B44" s="77" t="s">
        <v>78</v>
      </c>
      <c r="C44" s="81">
        <f t="shared" ca="1" si="32"/>
        <v>0.36769963514815746</v>
      </c>
      <c r="D44" s="81">
        <f ca="1">IFERROR(L44/L$37,0)</f>
        <v>0.45560686724251676</v>
      </c>
      <c r="E44" s="81">
        <f t="shared" ca="1" si="33"/>
        <v>0.28816366396653681</v>
      </c>
      <c r="F44" s="81">
        <f t="shared" ca="1" si="34"/>
        <v>0.37715155896694408</v>
      </c>
      <c r="G44" s="81">
        <f t="shared" ca="1" si="35"/>
        <v>0.34987645041663223</v>
      </c>
      <c r="K44" s="77" t="s">
        <v>78</v>
      </c>
      <c r="L44" s="73">
        <f ca="1">L37-L43</f>
        <v>29696</v>
      </c>
      <c r="M44" s="73">
        <f ca="1">M37-M43</f>
        <v>27143</v>
      </c>
      <c r="N44" s="73">
        <f t="shared" ref="M44:O44" ca="1" si="41">N37-N43</f>
        <v>24519</v>
      </c>
      <c r="O44" s="73">
        <f t="shared" ca="1" si="41"/>
        <v>25983.829999999994</v>
      </c>
      <c r="P44" s="122"/>
    </row>
    <row r="45" spans="2:16" x14ac:dyDescent="0.35">
      <c r="B45" s="76" t="s">
        <v>79</v>
      </c>
      <c r="C45" s="82">
        <f t="shared" ca="1" si="32"/>
        <v>6.3811195086268521E-2</v>
      </c>
      <c r="D45" s="82">
        <f ca="1">IFERROR(L45/L$37,0)</f>
        <v>3.0638702649626412E-2</v>
      </c>
      <c r="E45" s="82">
        <f t="shared" ca="1" si="33"/>
        <v>7.9655600734661811E-2</v>
      </c>
      <c r="F45" s="82">
        <f t="shared" ca="1" si="34"/>
        <v>8.990786174647368E-2</v>
      </c>
      <c r="G45" s="82">
        <f t="shared" ca="1" si="35"/>
        <v>5.5042615214312182E-2</v>
      </c>
      <c r="K45" s="76" t="s">
        <v>79</v>
      </c>
      <c r="L45" s="70">
        <f ca="1">SUMIF(
INDIRECT("'"&amp;L$2&amp;"'!$A$1:$A$500"),
$K45,
INDIRECT("'"&amp;L$2&amp;"'!$C$1:$C$500")
)</f>
        <v>1997</v>
      </c>
      <c r="M45" s="70">
        <f t="shared" ref="M45:O45" ca="1" si="42">SUMIF(
INDIRECT("'"&amp;M$2&amp;"'!$A$1:$A$500"),
$K45,
INDIRECT("'"&amp;M$2&amp;"'!$C$1:$C$500")
)</f>
        <v>7503</v>
      </c>
      <c r="N45" s="70">
        <f t="shared" ca="1" si="42"/>
        <v>5845</v>
      </c>
      <c r="O45" s="70">
        <f t="shared" ca="1" si="42"/>
        <v>4087.78</v>
      </c>
    </row>
    <row r="46" spans="2:16" ht="29" x14ac:dyDescent="0.35">
      <c r="B46" s="77" t="s">
        <v>80</v>
      </c>
      <c r="C46" s="81">
        <f t="shared" ca="1" si="32"/>
        <v>0.43151083023442594</v>
      </c>
      <c r="D46" s="81">
        <f ca="1">IFERROR(L46/L$37,0)</f>
        <v>0.48624556989214318</v>
      </c>
      <c r="E46" s="81">
        <f t="shared" ca="1" si="33"/>
        <v>0.36781926470119858</v>
      </c>
      <c r="F46" s="81">
        <f t="shared" ca="1" si="34"/>
        <v>0.46705942071341772</v>
      </c>
      <c r="G46" s="81">
        <f t="shared" ca="1" si="35"/>
        <v>0.40491906563094437</v>
      </c>
      <c r="K46" s="77" t="s">
        <v>80</v>
      </c>
      <c r="L46" s="73">
        <f ca="1">L44+L45</f>
        <v>31693</v>
      </c>
      <c r="M46" s="73">
        <f t="shared" ref="M46:O46" ca="1" si="43">M44+M45</f>
        <v>34646</v>
      </c>
      <c r="N46" s="73">
        <f t="shared" ca="1" si="43"/>
        <v>30364</v>
      </c>
      <c r="O46" s="73">
        <f t="shared" ca="1" si="43"/>
        <v>30071.609999999993</v>
      </c>
    </row>
    <row r="47" spans="2:16" x14ac:dyDescent="0.35">
      <c r="B47" s="76" t="s">
        <v>81</v>
      </c>
      <c r="C47" s="82">
        <f t="shared" ca="1" si="32"/>
        <v>1.1073026054530689E-2</v>
      </c>
      <c r="D47" s="82">
        <f ca="1">IFERROR(L47/L$37,0)</f>
        <v>1.3731416560548644E-2</v>
      </c>
      <c r="E47" s="82">
        <f t="shared" ca="1" si="33"/>
        <v>-9.0240251398723901E-4</v>
      </c>
      <c r="F47" s="82">
        <f t="shared" ca="1" si="34"/>
        <v>1.5597360446693636E-2</v>
      </c>
      <c r="G47" s="82">
        <f t="shared" ca="1" si="35"/>
        <v>1.5865729724867716E-2</v>
      </c>
      <c r="K47" s="76" t="s">
        <v>81</v>
      </c>
      <c r="L47" s="70">
        <f ca="1">SUMIF(
INDIRECT("'"&amp;L$2&amp;"'!$A$1:$A$500"),
$K47,
INDIRECT("'"&amp;L$2&amp;"'!$C$1:$C$500")
)</f>
        <v>895</v>
      </c>
      <c r="M47" s="70">
        <f t="shared" ref="M47:O47" ca="1" si="44">SUMIF(
INDIRECT("'"&amp;M$2&amp;"'!$A$1:$A$500"),
$K47,
INDIRECT("'"&amp;M$2&amp;"'!$C$1:$C$500")
)</f>
        <v>-85</v>
      </c>
      <c r="N47" s="70">
        <f t="shared" ca="1" si="44"/>
        <v>1014</v>
      </c>
      <c r="O47" s="70">
        <f t="shared" ca="1" si="44"/>
        <v>1178.28</v>
      </c>
    </row>
    <row r="48" spans="2:16" x14ac:dyDescent="0.35">
      <c r="B48" s="76" t="s">
        <v>82</v>
      </c>
      <c r="C48" s="82">
        <f t="shared" ca="1" si="32"/>
        <v>-2.1467770868693292E-2</v>
      </c>
      <c r="D48" s="82">
        <f ca="1">IFERROR(L48/L$37,0)</f>
        <v>-4.7101060157412666E-2</v>
      </c>
      <c r="E48" s="82">
        <f t="shared" ca="1" si="33"/>
        <v>5.6830125380866944E-2</v>
      </c>
      <c r="F48" s="82">
        <f t="shared" ca="1" si="34"/>
        <v>-3.7501345926074049E-2</v>
      </c>
      <c r="G48" s="82">
        <f t="shared" ca="1" si="35"/>
        <v>-5.8098802772153395E-2</v>
      </c>
      <c r="K48" s="76" t="s">
        <v>82</v>
      </c>
      <c r="L48" s="78">
        <f ca="1">SUMIF(INDIRECT("'"&amp;L$2&amp;"'!$A$1:$A$500"),$K$49,INDIRECT("'"&amp;L$2&amp;"'!$C$1:$C$500"))-L44+L47</f>
        <v>-3070</v>
      </c>
      <c r="M48" s="78">
        <f t="shared" ref="M48:O48" ca="1" si="45">SUMIF(INDIRECT("'"&amp;M$2&amp;"'!$A$1:$A$500"),$K$49,INDIRECT("'"&amp;M$2&amp;"'!$C$1:$C$500"))-M44+M47</f>
        <v>5353</v>
      </c>
      <c r="N48" s="78">
        <f t="shared" ca="1" si="45"/>
        <v>-2438</v>
      </c>
      <c r="O48" s="78">
        <f t="shared" ca="1" si="45"/>
        <v>-4314.7499999999955</v>
      </c>
    </row>
    <row r="49" spans="2:15" x14ac:dyDescent="0.35">
      <c r="B49" s="77" t="s">
        <v>83</v>
      </c>
      <c r="C49" s="81">
        <f t="shared" ca="1" si="32"/>
        <v>0.33515883822493353</v>
      </c>
      <c r="D49" s="81">
        <f ca="1">IFERROR(L49/L$37,0)</f>
        <v>0.39477439052455543</v>
      </c>
      <c r="E49" s="81">
        <f t="shared" ca="1" si="33"/>
        <v>0.34589619186139098</v>
      </c>
      <c r="F49" s="81">
        <f t="shared" ca="1" si="34"/>
        <v>0.32405285259417638</v>
      </c>
      <c r="G49" s="81">
        <f t="shared" ca="1" si="35"/>
        <v>0.27591191791961112</v>
      </c>
      <c r="K49" s="77" t="s">
        <v>83</v>
      </c>
      <c r="L49" s="73">
        <f ca="1">L44-L47+L48</f>
        <v>25731</v>
      </c>
      <c r="M49" s="73">
        <f t="shared" ref="M49:O49" ca="1" si="46">M44-M47+M48</f>
        <v>32581</v>
      </c>
      <c r="N49" s="73">
        <f t="shared" ca="1" si="46"/>
        <v>21067</v>
      </c>
      <c r="O49" s="73">
        <f t="shared" ca="1" si="46"/>
        <v>20490.8</v>
      </c>
    </row>
    <row r="50" spans="2:15" x14ac:dyDescent="0.35">
      <c r="B50" s="76" t="s">
        <v>84</v>
      </c>
      <c r="C50" s="82">
        <f t="shared" ca="1" si="32"/>
        <v>5.5887626303850746E-2</v>
      </c>
      <c r="D50" s="82">
        <f ca="1">IFERROR(L50/L$37,0)</f>
        <v>7.810797956396999E-2</v>
      </c>
      <c r="E50" s="82">
        <f t="shared" ca="1" si="33"/>
        <v>5.071502128608283E-2</v>
      </c>
      <c r="F50" s="82">
        <f t="shared" ca="1" si="34"/>
        <v>4.3131162418667608E-2</v>
      </c>
      <c r="G50" s="82">
        <f t="shared" ca="1" si="35"/>
        <v>5.1596341946682549E-2</v>
      </c>
      <c r="K50" s="76" t="s">
        <v>84</v>
      </c>
      <c r="L50" s="70">
        <f ca="1">SUMIF(INDIRECT("'"&amp;L$2&amp;"'!$A$1:$A$500"),$K$50,INDIRECT("'"&amp;L$2&amp;"'!$C$1:$C$500"))</f>
        <v>5091</v>
      </c>
      <c r="M50" s="70">
        <f t="shared" ref="M50:O50" ca="1" si="47">SUMIF(INDIRECT("'"&amp;M$2&amp;"'!$A$1:$A$500"),$K$50,INDIRECT("'"&amp;M$2&amp;"'!$C$1:$C$500"))</f>
        <v>4777</v>
      </c>
      <c r="N50" s="70">
        <f t="shared" ca="1" si="47"/>
        <v>2804</v>
      </c>
      <c r="O50" s="70">
        <f t="shared" ca="1" si="47"/>
        <v>3831.84</v>
      </c>
    </row>
    <row r="51" spans="2:15" x14ac:dyDescent="0.35">
      <c r="B51" s="76" t="s">
        <v>82</v>
      </c>
      <c r="C51" s="82">
        <f t="shared" ca="1" si="32"/>
        <v>-6.4235325704736085E-3</v>
      </c>
      <c r="D51" s="82">
        <f ca="1">IFERROR(L51/L$37,0)</f>
        <v>0</v>
      </c>
      <c r="E51" s="82">
        <f t="shared" ca="1" si="33"/>
        <v>-1.0616500164555752E-2</v>
      </c>
      <c r="F51" s="82">
        <f t="shared" ca="1" si="34"/>
        <v>-1.3843811047361217E-4</v>
      </c>
      <c r="G51" s="82">
        <f t="shared" ca="1" si="35"/>
        <v>-1.493919200686507E-2</v>
      </c>
      <c r="K51" s="76" t="s">
        <v>82</v>
      </c>
      <c r="L51" s="78">
        <f ca="1">SUMIF(INDIRECT("'"&amp;L$2&amp;"'!$A$1:$A$500"),$K$52,INDIRECT("'"&amp;L$2&amp;"'!$C$1:$C$500"))-(L49-L50)</f>
        <v>0</v>
      </c>
      <c r="M51" s="78">
        <f t="shared" ref="M51:O51" ca="1" si="48">SUMIF(INDIRECT("'"&amp;M$2&amp;"'!$A$1:$A$500"),$K$52,INDIRECT("'"&amp;M$2&amp;"'!$C$1:$C$500"))-(M49-M50)</f>
        <v>-1000</v>
      </c>
      <c r="N51" s="78">
        <f t="shared" ca="1" si="48"/>
        <v>-9</v>
      </c>
      <c r="O51" s="78">
        <f t="shared" ca="1" si="48"/>
        <v>-1109.4699999999993</v>
      </c>
    </row>
    <row r="52" spans="2:15" x14ac:dyDescent="0.35">
      <c r="B52" s="77" t="s">
        <v>85</v>
      </c>
      <c r="C52" s="81">
        <f t="shared" ca="1" si="32"/>
        <v>0.27284767935060916</v>
      </c>
      <c r="D52" s="81">
        <f ca="1">IFERROR(L52/L$37,0)</f>
        <v>0.31666641096058545</v>
      </c>
      <c r="E52" s="81">
        <f t="shared" ca="1" si="33"/>
        <v>0.2845646704107524</v>
      </c>
      <c r="F52" s="81">
        <f t="shared" ca="1" si="34"/>
        <v>0.28078325206503513</v>
      </c>
      <c r="G52" s="81">
        <f t="shared" ca="1" si="35"/>
        <v>0.20937638396606351</v>
      </c>
      <c r="K52" s="77" t="s">
        <v>85</v>
      </c>
      <c r="L52" s="73">
        <f ca="1">L49-L50+L51</f>
        <v>20640</v>
      </c>
      <c r="M52" s="73">
        <f t="shared" ref="M52:O52" ca="1" si="49">M49-M50+M51</f>
        <v>26804</v>
      </c>
      <c r="N52" s="73">
        <f t="shared" ca="1" si="49"/>
        <v>18254</v>
      </c>
      <c r="O52" s="73">
        <f t="shared" ca="1" si="49"/>
        <v>15549.49</v>
      </c>
    </row>
    <row r="53" spans="2:15" x14ac:dyDescent="0.35">
      <c r="K53" s="133" t="s">
        <v>787</v>
      </c>
      <c r="L53" s="134">
        <f ca="1">ROUND(SUMIF(INDIRECT("'"&amp;L$2&amp;"'!$A$1:$A$500"),$K$52,INDIRECT("'"&amp;L$2&amp;"'!$C$1:$C$500"))-L52,2)</f>
        <v>0</v>
      </c>
      <c r="M53" s="134">
        <f t="shared" ref="M53:O53" ca="1" si="50">ROUND(SUMIF(INDIRECT("'"&amp;M$2&amp;"'!$A$1:$A$500"),$K$52,INDIRECT("'"&amp;M$2&amp;"'!$C$1:$C$500"))-M52,2)</f>
        <v>0</v>
      </c>
      <c r="N53" s="134">
        <f t="shared" ca="1" si="50"/>
        <v>0</v>
      </c>
      <c r="O53" s="134">
        <f t="shared" ca="1" si="50"/>
        <v>0</v>
      </c>
    </row>
    <row r="55" spans="2:15" ht="12" customHeight="1" x14ac:dyDescent="0.35">
      <c r="B55" s="124" t="s">
        <v>759</v>
      </c>
      <c r="C55" s="124"/>
      <c r="D55" s="124"/>
      <c r="E55" s="124"/>
      <c r="F55" s="124"/>
      <c r="G55" s="124"/>
      <c r="K55" s="124" t="s">
        <v>759</v>
      </c>
      <c r="L55" s="124"/>
      <c r="M55" s="124"/>
      <c r="N55" s="124"/>
      <c r="O55" s="124"/>
    </row>
    <row r="56" spans="2:15" x14ac:dyDescent="0.35">
      <c r="B56" s="77" t="s">
        <v>760</v>
      </c>
      <c r="C56" s="128">
        <f ca="1">IFERROR(AVERAGE(D56:G56),0)</f>
        <v>1.381530221888249</v>
      </c>
      <c r="D56" s="128">
        <f ca="1">L56</f>
        <v>1.5791132054047916</v>
      </c>
      <c r="E56" s="128">
        <f t="shared" ref="E56:E63" ca="1" si="51">M56</f>
        <v>1.027676163027011</v>
      </c>
      <c r="F56" s="128">
        <f t="shared" ref="F56:G58" ca="1" si="52">N56</f>
        <v>1.5362022099057437</v>
      </c>
      <c r="G56" s="128">
        <f t="shared" ca="1" si="52"/>
        <v>1.38312930921545</v>
      </c>
      <c r="K56" s="77" t="s">
        <v>760</v>
      </c>
      <c r="L56" s="135">
        <f ca="1">IFERROR(L11/L23,0)</f>
        <v>1.5791132054047916</v>
      </c>
      <c r="M56" s="135">
        <f t="shared" ref="M56:O56" ca="1" si="53">IFERROR(M11/M23,0)</f>
        <v>1.027676163027011</v>
      </c>
      <c r="N56" s="135">
        <f t="shared" ca="1" si="53"/>
        <v>1.5362022099057437</v>
      </c>
      <c r="O56" s="135">
        <f t="shared" ca="1" si="53"/>
        <v>1.38312930921545</v>
      </c>
    </row>
    <row r="57" spans="2:15" x14ac:dyDescent="0.35">
      <c r="B57" s="77" t="s">
        <v>761</v>
      </c>
      <c r="C57" s="128">
        <f ca="1">IFERROR(AVERAGE(D57:G57),0)</f>
        <v>0.8229429670516849</v>
      </c>
      <c r="D57" s="128">
        <f ca="1">L57</f>
        <v>0.71343817417962985</v>
      </c>
      <c r="E57" s="128">
        <f t="shared" ca="1" si="51"/>
        <v>0.68876325610612277</v>
      </c>
      <c r="F57" s="128">
        <f t="shared" ca="1" si="52"/>
        <v>0.92985490874430754</v>
      </c>
      <c r="G57" s="128">
        <f t="shared" ca="1" si="52"/>
        <v>0.95971552917667957</v>
      </c>
      <c r="K57" s="77" t="s">
        <v>761</v>
      </c>
      <c r="L57" s="135">
        <f ca="1">IFERROR(SUM(L6:L8)/L23,0)</f>
        <v>0.71343817417962985</v>
      </c>
      <c r="M57" s="135">
        <f t="shared" ref="M57:O57" ca="1" si="54">IFERROR(SUM(M6:M8)/M23,0)</f>
        <v>0.68876325610612277</v>
      </c>
      <c r="N57" s="135">
        <f t="shared" ca="1" si="54"/>
        <v>0.92985490874430754</v>
      </c>
      <c r="O57" s="135">
        <f t="shared" ca="1" si="54"/>
        <v>0.95971552917667957</v>
      </c>
    </row>
    <row r="58" spans="2:15" x14ac:dyDescent="0.35">
      <c r="B58" s="77" t="s">
        <v>762</v>
      </c>
      <c r="C58" s="130">
        <f t="shared" ref="C58:C63" ca="1" si="55">IFERROR(AVERAGE(D58:G58),0)</f>
        <v>12657.082499999999</v>
      </c>
      <c r="D58" s="130">
        <f ca="1">L58</f>
        <v>20401</v>
      </c>
      <c r="E58" s="130">
        <f t="shared" ca="1" si="51"/>
        <v>1498</v>
      </c>
      <c r="F58" s="130">
        <f t="shared" ca="1" si="52"/>
        <v>15189</v>
      </c>
      <c r="G58" s="130">
        <f t="shared" ca="1" si="52"/>
        <v>13540.329999999994</v>
      </c>
      <c r="K58" s="77" t="s">
        <v>762</v>
      </c>
      <c r="L58" s="136">
        <f ca="1">L11-L23</f>
        <v>20401</v>
      </c>
      <c r="M58" s="136">
        <f t="shared" ref="M58:O58" ca="1" si="56">M11-M23</f>
        <v>1498</v>
      </c>
      <c r="N58" s="136">
        <f t="shared" ca="1" si="56"/>
        <v>15189</v>
      </c>
      <c r="O58" s="136">
        <f t="shared" ca="1" si="56"/>
        <v>13540.329999999994</v>
      </c>
    </row>
    <row r="59" spans="2:15" ht="12" customHeight="1" x14ac:dyDescent="0.35">
      <c r="B59" s="124" t="s">
        <v>763</v>
      </c>
      <c r="C59" s="125">
        <f t="shared" si="55"/>
        <v>0</v>
      </c>
      <c r="D59" s="125">
        <f>L59</f>
        <v>0</v>
      </c>
      <c r="E59" s="125">
        <f t="shared" si="51"/>
        <v>0</v>
      </c>
      <c r="F59" s="125"/>
      <c r="G59" s="125"/>
      <c r="K59" s="124" t="s">
        <v>763</v>
      </c>
      <c r="L59" s="125"/>
      <c r="M59" s="125"/>
      <c r="N59" s="125"/>
      <c r="O59" s="125"/>
    </row>
    <row r="60" spans="2:15" x14ac:dyDescent="0.35">
      <c r="B60" s="77" t="s">
        <v>764</v>
      </c>
      <c r="C60" s="128">
        <f t="shared" ca="1" si="55"/>
        <v>1.9519453762635401</v>
      </c>
      <c r="D60" s="128">
        <f ca="1">L60</f>
        <v>1.0361314758217239</v>
      </c>
      <c r="E60" s="128">
        <f t="shared" ca="1" si="51"/>
        <v>2.2650647644077342</v>
      </c>
      <c r="F60" s="128">
        <f t="shared" ref="F60:G67" ca="1" si="57">N60</f>
        <v>2.3338294039320124</v>
      </c>
      <c r="G60" s="128">
        <f t="shared" ca="1" si="57"/>
        <v>2.1727558608926905</v>
      </c>
      <c r="K60" s="77" t="s">
        <v>764</v>
      </c>
      <c r="L60" s="135">
        <f ca="1">IFERROR(L38/AVERAGE(L9,SUMIF(INDIRECT("'"&amp;L$2&amp;"'!$A$1:$A$500"),$K$9,INDIRECT("'"&amp;L$2&amp;"'!$B$1:$B$500"))),0)</f>
        <v>1.0361314758217239</v>
      </c>
      <c r="M60" s="135">
        <f t="shared" ref="M60:O60" ca="1" si="58">IFERROR(M38/AVERAGE(M9,SUMIF(INDIRECT("'"&amp;M$2&amp;"'!$A$1:$A$500"),$K$9,INDIRECT("'"&amp;M$2&amp;"'!$B$1:$B$500"))),0)</f>
        <v>2.2650647644077342</v>
      </c>
      <c r="N60" s="135">
        <f t="shared" ca="1" si="58"/>
        <v>2.3338294039320124</v>
      </c>
      <c r="O60" s="135">
        <f t="shared" ca="1" si="58"/>
        <v>2.1727558608926905</v>
      </c>
    </row>
    <row r="61" spans="2:15" x14ac:dyDescent="0.35">
      <c r="B61" s="77" t="s">
        <v>765</v>
      </c>
      <c r="C61" s="128">
        <f t="shared" ca="1" si="55"/>
        <v>2.8380022568941206</v>
      </c>
      <c r="D61" s="128">
        <f ca="1">L61</f>
        <v>2.5131675342201656</v>
      </c>
      <c r="E61" s="128">
        <f t="shared" ca="1" si="51"/>
        <v>3.8494830193305813</v>
      </c>
      <c r="F61" s="128">
        <f t="shared" ca="1" si="57"/>
        <v>2.4237035380084255</v>
      </c>
      <c r="G61" s="128">
        <f t="shared" ca="1" si="57"/>
        <v>2.5656549360173093</v>
      </c>
      <c r="K61" s="77" t="s">
        <v>765</v>
      </c>
      <c r="L61" s="135">
        <f ca="1">IFERROR(L37/L14,0)</f>
        <v>2.5131675342201656</v>
      </c>
      <c r="M61" s="135">
        <f t="shared" ref="M61:O61" ca="1" si="59">IFERROR(M37/M14,0)</f>
        <v>3.8494830193305813</v>
      </c>
      <c r="N61" s="135">
        <f t="shared" ca="1" si="59"/>
        <v>2.4237035380084255</v>
      </c>
      <c r="O61" s="135">
        <f t="shared" ca="1" si="59"/>
        <v>2.5656549360173093</v>
      </c>
    </row>
    <row r="62" spans="2:15" x14ac:dyDescent="0.35">
      <c r="B62" s="77" t="s">
        <v>766</v>
      </c>
      <c r="C62" s="128">
        <f t="shared" ca="1" si="55"/>
        <v>0.52790559680005467</v>
      </c>
      <c r="D62" s="128">
        <f ca="1">L62</f>
        <v>0.57949251395853341</v>
      </c>
      <c r="E62" s="128">
        <f t="shared" ca="1" si="51"/>
        <v>0.47283268912203202</v>
      </c>
      <c r="F62" s="128">
        <f t="shared" ca="1" si="57"/>
        <v>0.47499744275422678</v>
      </c>
      <c r="G62" s="128">
        <f t="shared" ca="1" si="57"/>
        <v>0.58429974136542662</v>
      </c>
      <c r="K62" s="77" t="s">
        <v>766</v>
      </c>
      <c r="L62" s="135">
        <f ca="1">IFERROR(L37/L18,0)</f>
        <v>0.57949251395853341</v>
      </c>
      <c r="M62" s="135">
        <f t="shared" ref="M62:O62" ca="1" si="60">IFERROR(M37/M18,0)</f>
        <v>0.47283268912203202</v>
      </c>
      <c r="N62" s="135">
        <f t="shared" ca="1" si="60"/>
        <v>0.47499744275422678</v>
      </c>
      <c r="O62" s="135">
        <f t="shared" ca="1" si="60"/>
        <v>0.58429974136542662</v>
      </c>
    </row>
    <row r="63" spans="2:15" x14ac:dyDescent="0.35">
      <c r="B63" s="77" t="s">
        <v>767</v>
      </c>
      <c r="C63" s="129">
        <f t="shared" ca="1" si="55"/>
        <v>75.707034704958446</v>
      </c>
      <c r="D63" s="129">
        <f ca="1">L63</f>
        <v>99.455346047039697</v>
      </c>
      <c r="E63" s="129">
        <f t="shared" ca="1" si="51"/>
        <v>66.565137536759636</v>
      </c>
      <c r="F63" s="129">
        <f t="shared" ca="1" si="57"/>
        <v>66.109966005752867</v>
      </c>
      <c r="G63" s="129">
        <f t="shared" ca="1" si="57"/>
        <v>70.697689230281583</v>
      </c>
      <c r="K63" s="77" t="s">
        <v>767</v>
      </c>
      <c r="L63" s="137">
        <f ca="1">IFERROR(L8/(L37/365),0)</f>
        <v>99.455346047039697</v>
      </c>
      <c r="M63" s="137">
        <f t="shared" ref="M63:O63" ca="1" si="61">IFERROR(M8/(M37/365),0)</f>
        <v>66.565137536759636</v>
      </c>
      <c r="N63" s="137">
        <f t="shared" ca="1" si="61"/>
        <v>66.109966005752867</v>
      </c>
      <c r="O63" s="137">
        <f t="shared" ca="1" si="61"/>
        <v>70.697689230281583</v>
      </c>
    </row>
    <row r="64" spans="2:15" x14ac:dyDescent="0.35">
      <c r="B64" t="s">
        <v>768</v>
      </c>
      <c r="C64" s="129">
        <f ca="1">IFERROR(AVERAGE(D64:G64),0)</f>
        <v>241.66918347704109</v>
      </c>
      <c r="D64" s="129">
        <f ca="1">L64</f>
        <v>453.90517553384001</v>
      </c>
      <c r="E64" s="129">
        <f t="shared" ref="D64:E67" ca="1" si="62">M64</f>
        <v>171.71274656058347</v>
      </c>
      <c r="F64" s="129">
        <f t="shared" ca="1" si="57"/>
        <v>163.12055309437508</v>
      </c>
      <c r="G64" s="129">
        <f t="shared" ca="1" si="57"/>
        <v>177.93825871936588</v>
      </c>
      <c r="K64" t="s">
        <v>768</v>
      </c>
      <c r="L64" s="137">
        <f ca="1">IFERROR(L9/(L38/365),0)</f>
        <v>453.90517553384001</v>
      </c>
      <c r="M64" s="137">
        <f t="shared" ref="M64:O64" ca="1" si="63">IFERROR(M9/(M38/365),0)</f>
        <v>171.71274656058347</v>
      </c>
      <c r="N64" s="137">
        <f t="shared" ca="1" si="63"/>
        <v>163.12055309437508</v>
      </c>
      <c r="O64" s="137">
        <f t="shared" ca="1" si="63"/>
        <v>177.93825871936588</v>
      </c>
    </row>
    <row r="65" spans="2:15" x14ac:dyDescent="0.35">
      <c r="B65" t="s">
        <v>769</v>
      </c>
      <c r="C65" s="129">
        <f ca="1">IFERROR(AVERAGE(D65:G65),0)</f>
        <v>132.86021312299883</v>
      </c>
      <c r="D65" s="129">
        <f ca="1">L65</f>
        <v>177.64522258414766</v>
      </c>
      <c r="E65" s="129">
        <f t="shared" ca="1" si="62"/>
        <v>145.09249129786176</v>
      </c>
      <c r="F65" s="129">
        <f t="shared" ca="1" si="57"/>
        <v>107.89770438985099</v>
      </c>
      <c r="G65" s="129">
        <f t="shared" ca="1" si="57"/>
        <v>100.80543422013487</v>
      </c>
      <c r="K65" t="s">
        <v>769</v>
      </c>
      <c r="L65" s="137">
        <f ca="1">IFERROR(L20/(L38/365),0)</f>
        <v>177.64522258414766</v>
      </c>
      <c r="M65" s="137">
        <f t="shared" ref="M65:O65" ca="1" si="64">IFERROR(M20/(M38/365),0)</f>
        <v>145.09249129786176</v>
      </c>
      <c r="N65" s="137">
        <f t="shared" ca="1" si="64"/>
        <v>107.89770438985099</v>
      </c>
      <c r="O65" s="137">
        <f t="shared" ca="1" si="64"/>
        <v>100.80543422013487</v>
      </c>
    </row>
    <row r="66" spans="2:15" x14ac:dyDescent="0.35">
      <c r="B66" t="s">
        <v>770</v>
      </c>
      <c r="C66" s="129">
        <f ca="1">IFERROR(AVERAGE(D66:G66),0)</f>
        <v>317.37621818199955</v>
      </c>
      <c r="D66" s="129">
        <f ca="1">L66</f>
        <v>553.36052158087966</v>
      </c>
      <c r="E66" s="129">
        <f t="shared" ca="1" si="62"/>
        <v>238.2778840973431</v>
      </c>
      <c r="F66" s="129">
        <f t="shared" ca="1" si="57"/>
        <v>229.23051910012794</v>
      </c>
      <c r="G66" s="129">
        <f t="shared" ca="1" si="57"/>
        <v>248.63594794964746</v>
      </c>
      <c r="K66" t="s">
        <v>770</v>
      </c>
      <c r="L66" s="137">
        <f ca="1">L63+L64</f>
        <v>553.36052158087966</v>
      </c>
      <c r="M66" s="137">
        <f t="shared" ref="M66:O66" ca="1" si="65">M63+M64</f>
        <v>238.2778840973431</v>
      </c>
      <c r="N66" s="137">
        <f t="shared" ca="1" si="65"/>
        <v>229.23051910012794</v>
      </c>
      <c r="O66" s="137">
        <f t="shared" ca="1" si="65"/>
        <v>248.63594794964746</v>
      </c>
    </row>
    <row r="67" spans="2:15" x14ac:dyDescent="0.35">
      <c r="B67" t="s">
        <v>771</v>
      </c>
      <c r="C67" s="129">
        <f ca="1">IFERROR(AVERAGE(D67:G67),0)</f>
        <v>184.51600505900075</v>
      </c>
      <c r="D67" s="129">
        <f ca="1">L67</f>
        <v>375.71529899673203</v>
      </c>
      <c r="E67" s="129">
        <f t="shared" ca="1" si="62"/>
        <v>93.185392799481349</v>
      </c>
      <c r="F67" s="129">
        <f t="shared" ca="1" si="57"/>
        <v>121.33281471027695</v>
      </c>
      <c r="G67" s="129">
        <f t="shared" ca="1" si="57"/>
        <v>147.83051372951257</v>
      </c>
      <c r="K67" t="s">
        <v>771</v>
      </c>
      <c r="L67" s="137">
        <f ca="1">L63+L64-L65</f>
        <v>375.71529899673203</v>
      </c>
      <c r="M67" s="137">
        <f t="shared" ref="M67:O67" ca="1" si="66">M63+M64-M65</f>
        <v>93.185392799481349</v>
      </c>
      <c r="N67" s="137">
        <f t="shared" ca="1" si="66"/>
        <v>121.33281471027695</v>
      </c>
      <c r="O67" s="137">
        <f t="shared" ca="1" si="66"/>
        <v>147.83051372951257</v>
      </c>
    </row>
    <row r="68" spans="2:15" ht="12" customHeight="1" x14ac:dyDescent="0.35">
      <c r="B68" s="126" t="s">
        <v>772</v>
      </c>
      <c r="C68" s="126"/>
      <c r="D68" s="126"/>
      <c r="E68" s="126"/>
      <c r="F68" s="126"/>
      <c r="G68" s="126"/>
      <c r="K68" s="126" t="s">
        <v>772</v>
      </c>
      <c r="L68" s="126"/>
      <c r="M68" s="126"/>
      <c r="N68" s="126"/>
      <c r="O68" s="126"/>
    </row>
    <row r="69" spans="2:15" x14ac:dyDescent="0.35">
      <c r="B69" t="s">
        <v>773</v>
      </c>
      <c r="C69" s="127">
        <f ca="1">IFERROR(AVERAGE(D69:G69),0)</f>
        <v>0.648454985772001</v>
      </c>
      <c r="D69" s="127">
        <f ca="1">L69</f>
        <v>0.76408300437426646</v>
      </c>
      <c r="E69" s="127">
        <f t="shared" ref="D69:G70" ca="1" si="67">M69</f>
        <v>0.59066311932131921</v>
      </c>
      <c r="F69" s="127">
        <f t="shared" ca="1" si="67"/>
        <v>0.61522949454210685</v>
      </c>
      <c r="G69" s="127">
        <f t="shared" ca="1" si="67"/>
        <v>0.62384432485031127</v>
      </c>
      <c r="K69" t="s">
        <v>773</v>
      </c>
      <c r="L69" s="138">
        <f ca="1">IFERROR(L28/L18,0)</f>
        <v>0.76408300437426646</v>
      </c>
      <c r="M69" s="138">
        <f t="shared" ref="M69:O69" ca="1" si="68">IFERROR(M28/M18,0)</f>
        <v>0.59066311932131921</v>
      </c>
      <c r="N69" s="138">
        <f t="shared" ca="1" si="68"/>
        <v>0.61522949454210685</v>
      </c>
      <c r="O69" s="138">
        <f t="shared" ca="1" si="68"/>
        <v>0.62384432485031127</v>
      </c>
    </row>
    <row r="70" spans="2:15" x14ac:dyDescent="0.35">
      <c r="B70" t="s">
        <v>774</v>
      </c>
      <c r="C70" s="128">
        <f ca="1">IFERROR(AVERAGE(D70:G70),0)</f>
        <v>-59.979177780288595</v>
      </c>
      <c r="D70" s="128">
        <f ca="1">L70</f>
        <v>33.179888268156425</v>
      </c>
      <c r="E70" s="128">
        <f t="shared" ca="1" si="67"/>
        <v>-319.32941176470587</v>
      </c>
      <c r="F70" s="128">
        <f t="shared" ca="1" si="67"/>
        <v>24.180473372781066</v>
      </c>
      <c r="G70" s="128">
        <f t="shared" ca="1" si="67"/>
        <v>22.052339002613977</v>
      </c>
      <c r="K70" t="s">
        <v>774</v>
      </c>
      <c r="L70" s="135">
        <f ca="1">IFERROR(L44/L47,0)</f>
        <v>33.179888268156425</v>
      </c>
      <c r="M70" s="135">
        <f ca="1">IFERROR(M44/M47,0)</f>
        <v>-319.32941176470587</v>
      </c>
      <c r="N70" s="135">
        <f t="shared" ref="M70:O70" ca="1" si="69">IFERROR(N44/N47,0)</f>
        <v>24.180473372781066</v>
      </c>
      <c r="O70" s="135">
        <f t="shared" ca="1" si="69"/>
        <v>22.052339002613977</v>
      </c>
    </row>
    <row r="71" spans="2:15" ht="12" customHeight="1" x14ac:dyDescent="0.35">
      <c r="B71" s="126" t="s">
        <v>775</v>
      </c>
      <c r="C71" s="126"/>
      <c r="D71" s="126"/>
      <c r="E71" s="126"/>
      <c r="F71" s="126"/>
      <c r="G71" s="126"/>
      <c r="K71" s="126" t="s">
        <v>775</v>
      </c>
      <c r="L71" s="126"/>
      <c r="M71" s="126"/>
      <c r="N71" s="126"/>
      <c r="O71" s="126"/>
    </row>
    <row r="72" spans="2:15" x14ac:dyDescent="0.35">
      <c r="B72" t="s">
        <v>776</v>
      </c>
      <c r="C72" s="127">
        <f t="shared" ref="C72:C78" ca="1" si="70">IFERROR(AVERAGE(D72:G72),0)</f>
        <v>0.27284767935060916</v>
      </c>
      <c r="D72" s="127">
        <f ca="1">L72</f>
        <v>0.31666641096058545</v>
      </c>
      <c r="E72" s="127">
        <f t="shared" ref="D72:G78" ca="1" si="71">M72</f>
        <v>0.2845646704107524</v>
      </c>
      <c r="F72" s="127">
        <f t="shared" ca="1" si="71"/>
        <v>0.28078325206503513</v>
      </c>
      <c r="G72" s="127">
        <f t="shared" ca="1" si="71"/>
        <v>0.20937638396606351</v>
      </c>
      <c r="K72" t="s">
        <v>776</v>
      </c>
      <c r="L72" s="138">
        <f ca="1">IFERROR(L52/L37,0)</f>
        <v>0.31666641096058545</v>
      </c>
      <c r="M72" s="138">
        <f t="shared" ref="M72:O72" ca="1" si="72">IFERROR(M52/M37,0)</f>
        <v>0.2845646704107524</v>
      </c>
      <c r="N72" s="138">
        <f t="shared" ca="1" si="72"/>
        <v>0.28078325206503513</v>
      </c>
      <c r="O72" s="138">
        <f t="shared" ca="1" si="72"/>
        <v>0.20937638396606351</v>
      </c>
    </row>
    <row r="73" spans="2:15" x14ac:dyDescent="0.35">
      <c r="B73" t="s">
        <v>777</v>
      </c>
      <c r="C73" s="127">
        <f t="shared" ca="1" si="70"/>
        <v>0.36769963514815746</v>
      </c>
      <c r="D73" s="127">
        <f ca="1">L73</f>
        <v>0.45560686724251676</v>
      </c>
      <c r="E73" s="127">
        <f t="shared" ca="1" si="71"/>
        <v>0.28816366396653681</v>
      </c>
      <c r="F73" s="127">
        <f t="shared" ca="1" si="71"/>
        <v>0.37715155896694408</v>
      </c>
      <c r="G73" s="127">
        <f t="shared" ca="1" si="71"/>
        <v>0.34987645041663223</v>
      </c>
      <c r="K73" t="s">
        <v>777</v>
      </c>
      <c r="L73" s="138">
        <f ca="1">IFERROR(L44/L37,0)</f>
        <v>0.45560686724251676</v>
      </c>
      <c r="M73" s="138">
        <f t="shared" ref="M73:O73" ca="1" si="73">IFERROR(M44/M37,0)</f>
        <v>0.28816366396653681</v>
      </c>
      <c r="N73" s="138">
        <f t="shared" ca="1" si="73"/>
        <v>0.37715155896694408</v>
      </c>
      <c r="O73" s="138">
        <f t="shared" ca="1" si="73"/>
        <v>0.34987645041663223</v>
      </c>
    </row>
    <row r="74" spans="2:15" x14ac:dyDescent="0.35">
      <c r="B74" t="s">
        <v>778</v>
      </c>
      <c r="C74" s="127">
        <f t="shared" ca="1" si="70"/>
        <v>0.14344179665293069</v>
      </c>
      <c r="D74" s="127">
        <f ca="1">L74</f>
        <v>0.18350581457377574</v>
      </c>
      <c r="E74" s="127">
        <f t="shared" ca="1" si="71"/>
        <v>0.13455147833944078</v>
      </c>
      <c r="F74" s="127">
        <f t="shared" ca="1" si="71"/>
        <v>0.13337132669910715</v>
      </c>
      <c r="G74" s="127">
        <f t="shared" ca="1" si="71"/>
        <v>0.12233856699939916</v>
      </c>
      <c r="K74" t="s">
        <v>778</v>
      </c>
      <c r="L74" s="138">
        <f ca="1">IFERROR(L52/L18,0)</f>
        <v>0.18350581457377574</v>
      </c>
      <c r="M74" s="138">
        <f t="shared" ref="M74:O74" ca="1" si="74">IFERROR(M52/M18,0)</f>
        <v>0.13455147833944078</v>
      </c>
      <c r="N74" s="138">
        <f t="shared" ca="1" si="74"/>
        <v>0.13337132669910715</v>
      </c>
      <c r="O74" s="138">
        <f t="shared" ca="1" si="74"/>
        <v>0.12233856699939916</v>
      </c>
    </row>
    <row r="75" spans="2:15" x14ac:dyDescent="0.35">
      <c r="B75" t="s">
        <v>63</v>
      </c>
      <c r="C75" s="127">
        <f t="shared" ca="1" si="70"/>
        <v>0.44460153844438494</v>
      </c>
      <c r="D75" s="127">
        <f ca="1">L75</f>
        <v>0.77784058790276989</v>
      </c>
      <c r="E75" s="127">
        <f t="shared" ca="1" si="71"/>
        <v>0.3287059746885117</v>
      </c>
      <c r="F75" s="127">
        <f t="shared" ca="1" si="71"/>
        <v>0.34662565037408377</v>
      </c>
      <c r="G75" s="127">
        <f t="shared" ca="1" si="71"/>
        <v>0.32523394081217449</v>
      </c>
      <c r="K75" t="s">
        <v>63</v>
      </c>
      <c r="L75" s="138">
        <f ca="1">IFERROR(L52/L32,0)</f>
        <v>0.77784058790276989</v>
      </c>
      <c r="M75" s="138">
        <f t="shared" ref="M75:O75" ca="1" si="75">IFERROR(M52/M32,0)</f>
        <v>0.3287059746885117</v>
      </c>
      <c r="N75" s="138">
        <f t="shared" ca="1" si="75"/>
        <v>0.34662565037408377</v>
      </c>
      <c r="O75" s="138">
        <f t="shared" ca="1" si="75"/>
        <v>0.32523394081217449</v>
      </c>
    </row>
    <row r="76" spans="2:15" x14ac:dyDescent="0.35">
      <c r="B76" t="s">
        <v>779</v>
      </c>
      <c r="C76" s="127">
        <f t="shared" ca="1" si="70"/>
        <v>0.24195464225500682</v>
      </c>
      <c r="D76" s="127">
        <f ca="1">L76</f>
        <v>0.34503470558866789</v>
      </c>
      <c r="E76" s="127">
        <f t="shared" ca="1" si="71"/>
        <v>0.17889907229620722</v>
      </c>
      <c r="F76" s="127">
        <f t="shared" ca="1" si="71"/>
        <v>0.20838562073204725</v>
      </c>
      <c r="G76" s="127">
        <f t="shared" ca="1" si="71"/>
        <v>0.23549917040310489</v>
      </c>
      <c r="K76" t="s">
        <v>779</v>
      </c>
      <c r="L76" s="138">
        <f ca="1">IFERROR((L44*(1-IFERROR(L50/L49,0)))/(L21+L25+L32),0)</f>
        <v>0.34503470558866789</v>
      </c>
      <c r="M76" s="138">
        <f t="shared" ref="M76:O76" ca="1" si="76">IFERROR((M44*(1-IFERROR(M50/M49,0)))/(M21+M25+M32),0)</f>
        <v>0.17889907229620722</v>
      </c>
      <c r="N76" s="138">
        <f t="shared" ca="1" si="76"/>
        <v>0.20838562073204725</v>
      </c>
      <c r="O76" s="138">
        <f t="shared" ca="1" si="76"/>
        <v>0.23549917040310489</v>
      </c>
    </row>
    <row r="77" spans="2:15" x14ac:dyDescent="0.35">
      <c r="B77" t="s">
        <v>780</v>
      </c>
      <c r="C77" s="127">
        <f t="shared" ca="1" si="70"/>
        <v>0.24662916625284481</v>
      </c>
      <c r="D77" s="127">
        <f ca="1">L77</f>
        <v>0.34039019726251007</v>
      </c>
      <c r="E77" s="127">
        <f t="shared" ca="1" si="71"/>
        <v>0.17057938010851906</v>
      </c>
      <c r="F77" s="127">
        <f t="shared" ca="1" si="71"/>
        <v>0.22618534594983242</v>
      </c>
      <c r="G77" s="127">
        <f t="shared" ca="1" si="71"/>
        <v>0.24936174169051778</v>
      </c>
      <c r="K77" t="s">
        <v>780</v>
      </c>
      <c r="L77" s="138">
        <f ca="1">IFERROR((L44*(1-IFERROR(L50/L49,0)))/(L17+(L11-L6-L23)),0)</f>
        <v>0.34039019726251007</v>
      </c>
      <c r="M77" s="138">
        <f t="shared" ref="M77:O77" ca="1" si="77">IFERROR((M44*(1-IFERROR(M50/M49,0)))/(M17+(M11-M6-M23)),0)</f>
        <v>0.17057938010851906</v>
      </c>
      <c r="N77" s="138">
        <f t="shared" ca="1" si="77"/>
        <v>0.22618534594983242</v>
      </c>
      <c r="O77" s="138">
        <f t="shared" ca="1" si="77"/>
        <v>0.24936174169051778</v>
      </c>
    </row>
    <row r="78" spans="2:15" x14ac:dyDescent="0.35">
      <c r="B78" t="s">
        <v>781</v>
      </c>
      <c r="C78" s="127">
        <f t="shared" ca="1" si="70"/>
        <v>0.22351693343255552</v>
      </c>
      <c r="D78" s="127">
        <f ca="1">L78</f>
        <v>0.3083640483175028</v>
      </c>
      <c r="E78" s="127">
        <f t="shared" ca="1" si="71"/>
        <v>0.15965451175661011</v>
      </c>
      <c r="F78" s="127">
        <f t="shared" ca="1" si="71"/>
        <v>0.19583321847713311</v>
      </c>
      <c r="G78" s="127">
        <f t="shared" ca="1" si="71"/>
        <v>0.23021595517897611</v>
      </c>
      <c r="K78" t="s">
        <v>781</v>
      </c>
      <c r="L78" s="138">
        <f ca="1">IFERROR((L44*(1-IFERROR(L50/L49,0)))/(L18-L23),0)</f>
        <v>0.3083640483175028</v>
      </c>
      <c r="M78" s="138">
        <f t="shared" ref="M78:O78" ca="1" si="78">IFERROR((M44*(1-IFERROR(M50/M49,0)))/(M18-M23),0)</f>
        <v>0.15965451175661011</v>
      </c>
      <c r="N78" s="138">
        <f t="shared" ca="1" si="78"/>
        <v>0.19583321847713311</v>
      </c>
      <c r="O78" s="138">
        <f t="shared" ca="1" si="78"/>
        <v>0.23021595517897611</v>
      </c>
    </row>
  </sheetData>
  <conditionalFormatting sqref="C34:G34">
    <cfRule type="expression" dxfId="19" priority="13">
      <formula>ABS(C34)&gt;0.1</formula>
    </cfRule>
  </conditionalFormatting>
  <conditionalFormatting sqref="L12:O12">
    <cfRule type="expression" dxfId="6" priority="1">
      <formula>ABS(L12)&gt;0.01</formula>
    </cfRule>
  </conditionalFormatting>
  <conditionalFormatting sqref="L19:O19">
    <cfRule type="expression" dxfId="5" priority="2">
      <formula>ABS(L19)&gt;0.01</formula>
    </cfRule>
  </conditionalFormatting>
  <conditionalFormatting sqref="L24:O24">
    <cfRule type="expression" dxfId="4" priority="3">
      <formula>ABS(L24)&gt;0.01</formula>
    </cfRule>
  </conditionalFormatting>
  <conditionalFormatting sqref="L29:O29">
    <cfRule type="expression" dxfId="3" priority="4">
      <formula>ABS(L29)&gt;0.01</formula>
    </cfRule>
  </conditionalFormatting>
  <conditionalFormatting sqref="L34:O34">
    <cfRule type="expression" dxfId="2" priority="5">
      <formula>ABS(L34)&gt;0.01</formula>
    </cfRule>
  </conditionalFormatting>
  <conditionalFormatting sqref="L53:O53">
    <cfRule type="expression" dxfId="1" priority="6">
      <formula>ABS(L53)&gt;0.01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41"/>
  <sheetViews>
    <sheetView topLeftCell="A287" workbookViewId="0">
      <selection activeCell="C303" sqref="C303"/>
    </sheetView>
  </sheetViews>
  <sheetFormatPr defaultRowHeight="14.5" x14ac:dyDescent="0.35"/>
  <cols>
    <col min="1" max="1" width="90.81640625" style="11" customWidth="1"/>
    <col min="2" max="2" width="22.81640625" style="11" customWidth="1"/>
    <col min="3" max="3" width="9.6328125" style="11" customWidth="1"/>
    <col min="4" max="16384" width="8.7265625" style="11"/>
  </cols>
  <sheetData>
    <row r="1" spans="1:3" ht="6.65" customHeight="1" x14ac:dyDescent="0.35">
      <c r="A1" s="34" t="s">
        <v>94</v>
      </c>
      <c r="B1" s="35"/>
      <c r="C1" s="35"/>
    </row>
    <row r="2" spans="1:3" ht="6.65" customHeight="1" x14ac:dyDescent="0.35">
      <c r="A2" s="36" t="s">
        <v>95</v>
      </c>
      <c r="B2" s="37" t="s">
        <v>607</v>
      </c>
      <c r="C2"/>
    </row>
    <row r="3" spans="1:3" x14ac:dyDescent="0.35">
      <c r="A3" s="36" t="s">
        <v>97</v>
      </c>
      <c r="B3" s="36" t="s">
        <v>98</v>
      </c>
      <c r="C3"/>
    </row>
    <row r="4" spans="1:3" x14ac:dyDescent="0.35">
      <c r="A4" s="36" t="s">
        <v>99</v>
      </c>
      <c r="B4" s="36" t="s">
        <v>98</v>
      </c>
      <c r="C4"/>
    </row>
    <row r="5" spans="1:3" x14ac:dyDescent="0.35">
      <c r="A5" s="36" t="s">
        <v>100</v>
      </c>
      <c r="B5" s="36" t="s">
        <v>608</v>
      </c>
      <c r="C5"/>
    </row>
    <row r="6" spans="1:3" x14ac:dyDescent="0.35">
      <c r="A6" s="36" t="s">
        <v>101</v>
      </c>
      <c r="B6" s="36" t="s">
        <v>102</v>
      </c>
      <c r="C6"/>
    </row>
    <row r="7" spans="1:3" x14ac:dyDescent="0.35">
      <c r="A7" s="36" t="s">
        <v>103</v>
      </c>
      <c r="B7" s="36" t="s">
        <v>104</v>
      </c>
      <c r="C7"/>
    </row>
    <row r="8" spans="1:3" x14ac:dyDescent="0.35">
      <c r="A8" s="36" t="s">
        <v>105</v>
      </c>
      <c r="B8" s="36" t="s">
        <v>106</v>
      </c>
      <c r="C8"/>
    </row>
    <row r="9" spans="1:3" x14ac:dyDescent="0.35">
      <c r="A9" s="36" t="s">
        <v>107</v>
      </c>
      <c r="B9" s="36" t="s">
        <v>108</v>
      </c>
      <c r="C9"/>
    </row>
    <row r="10" spans="1:3" x14ac:dyDescent="0.35">
      <c r="A10" s="36" t="s">
        <v>109</v>
      </c>
      <c r="B10" s="38">
        <v>46295.599453703697</v>
      </c>
      <c r="C10"/>
    </row>
    <row r="11" spans="1:3" x14ac:dyDescent="0.35">
      <c r="A11" s="39" t="s">
        <v>110</v>
      </c>
      <c r="B11" s="40" t="s">
        <v>111</v>
      </c>
      <c r="C11" s="40" t="s">
        <v>112</v>
      </c>
    </row>
    <row r="12" spans="1:3" ht="6.65" customHeight="1" x14ac:dyDescent="0.35">
      <c r="A12" s="41" t="s">
        <v>113</v>
      </c>
      <c r="B12" s="42">
        <v>45657</v>
      </c>
      <c r="C12" s="42">
        <v>46022</v>
      </c>
    </row>
    <row r="13" spans="1:3" x14ac:dyDescent="0.35">
      <c r="A13" s="41" t="s">
        <v>114</v>
      </c>
      <c r="B13" s="42" t="s">
        <v>115</v>
      </c>
      <c r="C13" s="42" t="s">
        <v>115</v>
      </c>
    </row>
    <row r="14" spans="1:3" x14ac:dyDescent="0.35">
      <c r="A14" s="43" t="s">
        <v>116</v>
      </c>
      <c r="B14" s="39"/>
      <c r="C14" s="39"/>
    </row>
    <row r="15" spans="1:3" x14ac:dyDescent="0.35">
      <c r="A15" s="43" t="s">
        <v>117</v>
      </c>
      <c r="B15" s="44" t="s">
        <v>118</v>
      </c>
      <c r="C15" s="44" t="s">
        <v>119</v>
      </c>
    </row>
    <row r="16" spans="1:3" ht="6.65" customHeight="1" x14ac:dyDescent="0.35">
      <c r="A16" s="45" t="s">
        <v>120</v>
      </c>
      <c r="B16" s="46"/>
      <c r="C16" s="46"/>
    </row>
    <row r="17" spans="1:3" x14ac:dyDescent="0.35">
      <c r="A17" s="47" t="s">
        <v>121</v>
      </c>
      <c r="B17" s="48">
        <v>3423.2</v>
      </c>
      <c r="C17" s="48">
        <v>7373</v>
      </c>
    </row>
    <row r="18" spans="1:3" x14ac:dyDescent="0.35">
      <c r="A18" s="49" t="s">
        <v>12</v>
      </c>
      <c r="B18" s="48">
        <v>3268.4</v>
      </c>
      <c r="C18" s="48">
        <v>7268</v>
      </c>
    </row>
    <row r="19" spans="1:3" x14ac:dyDescent="0.35">
      <c r="A19" s="49" t="s">
        <v>14</v>
      </c>
      <c r="B19" s="48">
        <v>154.80000000000001</v>
      </c>
      <c r="C19" s="48">
        <v>105</v>
      </c>
    </row>
    <row r="20" spans="1:3" x14ac:dyDescent="0.35">
      <c r="A20" s="47" t="s">
        <v>122</v>
      </c>
      <c r="B20" s="50">
        <v>13275.4</v>
      </c>
      <c r="C20" s="50">
        <v>20155</v>
      </c>
    </row>
    <row r="21" spans="1:3" x14ac:dyDescent="0.35">
      <c r="A21" s="49" t="s">
        <v>16</v>
      </c>
      <c r="B21" s="50">
        <v>11005.7</v>
      </c>
      <c r="C21" s="50">
        <v>17760</v>
      </c>
    </row>
    <row r="22" spans="1:3" x14ac:dyDescent="0.35">
      <c r="A22" s="49" t="s">
        <v>123</v>
      </c>
      <c r="B22" s="50">
        <v>11020.6</v>
      </c>
      <c r="C22" s="50"/>
    </row>
    <row r="23" spans="1:3" x14ac:dyDescent="0.35">
      <c r="A23" s="49" t="s">
        <v>124</v>
      </c>
      <c r="B23" s="51">
        <v>14.9</v>
      </c>
      <c r="C23" s="50"/>
    </row>
    <row r="24" spans="1:3" x14ac:dyDescent="0.35">
      <c r="A24" s="49" t="s">
        <v>455</v>
      </c>
      <c r="B24" s="48">
        <v>2269.6999999999998</v>
      </c>
      <c r="C24" s="48">
        <v>2395</v>
      </c>
    </row>
    <row r="25" spans="1:3" x14ac:dyDescent="0.35">
      <c r="A25" s="47" t="s">
        <v>18</v>
      </c>
      <c r="B25" s="48">
        <v>7589.2</v>
      </c>
      <c r="C25" s="50">
        <v>13744</v>
      </c>
    </row>
    <row r="26" spans="1:3" x14ac:dyDescent="0.35">
      <c r="A26" s="49" t="s">
        <v>125</v>
      </c>
      <c r="B26" s="48">
        <v>2326</v>
      </c>
      <c r="C26" s="48">
        <v>3587</v>
      </c>
    </row>
    <row r="27" spans="1:3" x14ac:dyDescent="0.35">
      <c r="A27" s="49" t="s">
        <v>499</v>
      </c>
      <c r="B27" s="48">
        <v>3979.5</v>
      </c>
      <c r="C27" s="48">
        <v>8183</v>
      </c>
    </row>
    <row r="28" spans="1:3" x14ac:dyDescent="0.35">
      <c r="A28" s="49" t="s">
        <v>126</v>
      </c>
      <c r="B28" s="48">
        <v>1220.8</v>
      </c>
      <c r="C28" s="48">
        <v>1931</v>
      </c>
    </row>
    <row r="29" spans="1:3" x14ac:dyDescent="0.35">
      <c r="A29" s="49" t="s">
        <v>456</v>
      </c>
      <c r="B29" s="51">
        <v>62.9</v>
      </c>
      <c r="C29" s="51">
        <v>43</v>
      </c>
    </row>
    <row r="30" spans="1:3" x14ac:dyDescent="0.35">
      <c r="A30" s="49" t="s">
        <v>609</v>
      </c>
      <c r="B30" s="51">
        <v>62.9</v>
      </c>
      <c r="C30" s="51">
        <v>43</v>
      </c>
    </row>
    <row r="31" spans="1:3" x14ac:dyDescent="0.35">
      <c r="A31" s="47" t="s">
        <v>127</v>
      </c>
      <c r="B31" s="48">
        <v>8340.5</v>
      </c>
      <c r="C31" s="50">
        <v>14315</v>
      </c>
    </row>
    <row r="32" spans="1:3" x14ac:dyDescent="0.35">
      <c r="A32" s="47" t="s">
        <v>410</v>
      </c>
      <c r="B32" s="48">
        <v>111.4</v>
      </c>
      <c r="C32" s="51">
        <v>42</v>
      </c>
    </row>
    <row r="33" spans="1:3" x14ac:dyDescent="0.35">
      <c r="A33" s="49" t="s">
        <v>20</v>
      </c>
      <c r="B33" s="48">
        <v>111.4</v>
      </c>
      <c r="C33" s="51">
        <v>42</v>
      </c>
    </row>
    <row r="34" spans="1:3" x14ac:dyDescent="0.35">
      <c r="A34" s="52" t="s">
        <v>22</v>
      </c>
      <c r="B34" s="53">
        <v>32739.7</v>
      </c>
      <c r="C34" s="53">
        <v>55629</v>
      </c>
    </row>
    <row r="35" spans="1:3" x14ac:dyDescent="0.35">
      <c r="A35" s="45" t="s">
        <v>128</v>
      </c>
      <c r="B35" s="46"/>
      <c r="C35" s="46"/>
    </row>
    <row r="36" spans="1:3" x14ac:dyDescent="0.35">
      <c r="A36" s="47" t="s">
        <v>25</v>
      </c>
      <c r="B36" s="48">
        <v>2073.1999999999998</v>
      </c>
      <c r="C36" s="48">
        <v>1514</v>
      </c>
    </row>
    <row r="37" spans="1:3" x14ac:dyDescent="0.35">
      <c r="A37" s="49" t="s">
        <v>129</v>
      </c>
      <c r="B37" s="48">
        <v>2073.1999999999998</v>
      </c>
      <c r="C37" s="48">
        <v>1514</v>
      </c>
    </row>
    <row r="38" spans="1:3" x14ac:dyDescent="0.35">
      <c r="A38" s="49" t="s">
        <v>573</v>
      </c>
      <c r="B38" s="50"/>
      <c r="C38" s="48">
        <v>223</v>
      </c>
    </row>
    <row r="39" spans="1:3" x14ac:dyDescent="0.35">
      <c r="A39" s="47" t="s">
        <v>130</v>
      </c>
      <c r="B39" s="48">
        <v>1142.7</v>
      </c>
      <c r="C39" s="48">
        <v>1288</v>
      </c>
    </row>
    <row r="40" spans="1:3" x14ac:dyDescent="0.35">
      <c r="A40" s="47" t="s">
        <v>27</v>
      </c>
      <c r="B40" s="50">
        <v>18152.5</v>
      </c>
      <c r="C40" s="50">
        <v>25935</v>
      </c>
    </row>
    <row r="41" spans="1:3" x14ac:dyDescent="0.35">
      <c r="A41" s="49" t="s">
        <v>133</v>
      </c>
      <c r="B41" s="50">
        <v>18152.5</v>
      </c>
      <c r="C41" s="50">
        <v>25935</v>
      </c>
    </row>
    <row r="42" spans="1:3" x14ac:dyDescent="0.35">
      <c r="A42" s="49" t="s">
        <v>134</v>
      </c>
      <c r="B42" s="50">
        <v>29941.5</v>
      </c>
      <c r="C42" s="50">
        <v>38495</v>
      </c>
    </row>
    <row r="43" spans="1:3" x14ac:dyDescent="0.35">
      <c r="A43" s="49" t="s">
        <v>135</v>
      </c>
      <c r="B43" s="50">
        <v>29941.5</v>
      </c>
      <c r="C43" s="50">
        <v>38495</v>
      </c>
    </row>
    <row r="44" spans="1:3" x14ac:dyDescent="0.35">
      <c r="A44" s="49" t="s">
        <v>458</v>
      </c>
      <c r="B44" s="48">
        <v>9188.7999999999993</v>
      </c>
      <c r="C44" s="50">
        <v>10735</v>
      </c>
    </row>
    <row r="45" spans="1:3" x14ac:dyDescent="0.35">
      <c r="A45" s="49" t="s">
        <v>459</v>
      </c>
      <c r="B45" s="48">
        <v>382</v>
      </c>
      <c r="C45" s="48">
        <v>647</v>
      </c>
    </row>
    <row r="46" spans="1:3" x14ac:dyDescent="0.35">
      <c r="A46" s="49" t="s">
        <v>460</v>
      </c>
      <c r="B46" s="48">
        <v>8806.7999999999993</v>
      </c>
      <c r="C46" s="50">
        <v>10088</v>
      </c>
    </row>
    <row r="47" spans="1:3" x14ac:dyDescent="0.35">
      <c r="A47" s="49" t="s">
        <v>447</v>
      </c>
      <c r="B47" s="50">
        <v>11457.8</v>
      </c>
      <c r="C47" s="50">
        <v>13486</v>
      </c>
    </row>
    <row r="48" spans="1:3" x14ac:dyDescent="0.35">
      <c r="A48" s="49" t="s">
        <v>462</v>
      </c>
      <c r="B48" s="48">
        <v>8244.7999999999993</v>
      </c>
      <c r="C48" s="50">
        <v>13013</v>
      </c>
    </row>
    <row r="49" spans="1:3" x14ac:dyDescent="0.35">
      <c r="A49" s="49" t="s">
        <v>136</v>
      </c>
      <c r="B49" s="48">
        <v>1050.0999999999999</v>
      </c>
      <c r="C49" s="48">
        <v>1260</v>
      </c>
    </row>
    <row r="50" spans="1:3" x14ac:dyDescent="0.35">
      <c r="A50" s="49" t="s">
        <v>137</v>
      </c>
      <c r="B50" s="48">
        <v>1050.0999999999999</v>
      </c>
      <c r="C50" s="48">
        <v>1260</v>
      </c>
    </row>
    <row r="51" spans="1:3" x14ac:dyDescent="0.35">
      <c r="A51" s="49" t="s">
        <v>138</v>
      </c>
      <c r="B51" s="50"/>
      <c r="C51" s="51">
        <v>1</v>
      </c>
    </row>
    <row r="52" spans="1:3" x14ac:dyDescent="0.35">
      <c r="A52" s="49" t="s">
        <v>139</v>
      </c>
      <c r="B52" s="50">
        <v>11789</v>
      </c>
      <c r="C52" s="50">
        <v>12560</v>
      </c>
    </row>
    <row r="53" spans="1:3" x14ac:dyDescent="0.35">
      <c r="A53" s="49" t="s">
        <v>140</v>
      </c>
      <c r="B53" s="50">
        <v>11789</v>
      </c>
      <c r="C53" s="50">
        <v>12560</v>
      </c>
    </row>
    <row r="54" spans="1:3" x14ac:dyDescent="0.35">
      <c r="A54" s="47" t="s">
        <v>141</v>
      </c>
      <c r="B54" s="50">
        <v>12670.2</v>
      </c>
      <c r="C54" s="50">
        <v>15691</v>
      </c>
    </row>
    <row r="55" spans="1:3" x14ac:dyDescent="0.35">
      <c r="A55" s="49" t="s">
        <v>419</v>
      </c>
      <c r="B55" s="48">
        <v>8000.6</v>
      </c>
      <c r="C55" s="48">
        <v>9959</v>
      </c>
    </row>
    <row r="56" spans="1:3" x14ac:dyDescent="0.35">
      <c r="A56" s="49" t="s">
        <v>31</v>
      </c>
      <c r="B56" s="48">
        <v>4669.6000000000004</v>
      </c>
      <c r="C56" s="48">
        <v>5732</v>
      </c>
    </row>
    <row r="57" spans="1:3" x14ac:dyDescent="0.35">
      <c r="A57" s="47" t="s">
        <v>29</v>
      </c>
      <c r="B57" s="50">
        <v>11936.6</v>
      </c>
      <c r="C57" s="50">
        <v>12419</v>
      </c>
    </row>
    <row r="58" spans="1:3" x14ac:dyDescent="0.35">
      <c r="A58" s="49" t="s">
        <v>421</v>
      </c>
      <c r="B58" s="48">
        <v>5770.3</v>
      </c>
      <c r="C58" s="48">
        <v>5898</v>
      </c>
    </row>
    <row r="59" spans="1:3" x14ac:dyDescent="0.35">
      <c r="A59" s="49" t="s">
        <v>464</v>
      </c>
      <c r="B59" s="48">
        <v>6166.3</v>
      </c>
      <c r="C59" s="48">
        <v>6521</v>
      </c>
    </row>
    <row r="60" spans="1:3" x14ac:dyDescent="0.35">
      <c r="A60" s="49" t="s">
        <v>544</v>
      </c>
      <c r="B60" s="48">
        <v>897.7</v>
      </c>
      <c r="C60" s="48">
        <v>1569</v>
      </c>
    </row>
    <row r="61" spans="1:3" x14ac:dyDescent="0.35">
      <c r="A61" s="49" t="s">
        <v>490</v>
      </c>
      <c r="B61" s="48">
        <v>5268.6</v>
      </c>
      <c r="C61" s="48">
        <v>4952</v>
      </c>
    </row>
    <row r="62" spans="1:3" x14ac:dyDescent="0.35">
      <c r="A62" s="52" t="s">
        <v>33</v>
      </c>
      <c r="B62" s="53">
        <v>45975.199999999997</v>
      </c>
      <c r="C62" s="53">
        <v>56847</v>
      </c>
    </row>
    <row r="63" spans="1:3" x14ac:dyDescent="0.35">
      <c r="A63" s="45" t="s">
        <v>35</v>
      </c>
      <c r="B63" s="46"/>
      <c r="C63" s="46"/>
    </row>
    <row r="64" spans="1:3" x14ac:dyDescent="0.35">
      <c r="A64" s="52" t="s">
        <v>35</v>
      </c>
      <c r="B64" s="53">
        <v>78714.899999999994</v>
      </c>
      <c r="C64" s="53">
        <v>112476</v>
      </c>
    </row>
    <row r="65" spans="1:3" x14ac:dyDescent="0.35">
      <c r="A65" s="45" t="s">
        <v>143</v>
      </c>
      <c r="B65" s="46"/>
      <c r="C65" s="46"/>
    </row>
    <row r="66" spans="1:3" x14ac:dyDescent="0.35">
      <c r="A66" s="47" t="s">
        <v>144</v>
      </c>
      <c r="B66" s="50">
        <v>16861.8</v>
      </c>
      <c r="C66" s="50">
        <v>25136</v>
      </c>
    </row>
    <row r="67" spans="1:3" x14ac:dyDescent="0.35">
      <c r="A67" s="49" t="s">
        <v>37</v>
      </c>
      <c r="B67" s="48">
        <v>3228.6</v>
      </c>
      <c r="C67" s="48">
        <v>5379</v>
      </c>
    </row>
    <row r="68" spans="1:3" x14ac:dyDescent="0.35">
      <c r="A68" s="49" t="s">
        <v>145</v>
      </c>
      <c r="B68" s="50">
        <v>13633.2</v>
      </c>
      <c r="C68" s="50">
        <v>19757</v>
      </c>
    </row>
    <row r="69" spans="1:3" x14ac:dyDescent="0.35">
      <c r="A69" s="47" t="s">
        <v>39</v>
      </c>
      <c r="B69" s="48">
        <v>5117.1000000000004</v>
      </c>
      <c r="C69" s="48">
        <v>1635</v>
      </c>
    </row>
    <row r="70" spans="1:3" x14ac:dyDescent="0.35">
      <c r="A70" s="49" t="s">
        <v>422</v>
      </c>
      <c r="B70" s="48">
        <v>4337.6000000000004</v>
      </c>
      <c r="C70" s="50">
        <v>0</v>
      </c>
    </row>
    <row r="71" spans="1:3" x14ac:dyDescent="0.35">
      <c r="A71" s="49" t="s">
        <v>146</v>
      </c>
      <c r="B71" s="48">
        <v>779.5</v>
      </c>
      <c r="C71" s="48">
        <v>1635</v>
      </c>
    </row>
    <row r="72" spans="1:3" x14ac:dyDescent="0.35">
      <c r="A72" s="49" t="s">
        <v>147</v>
      </c>
      <c r="B72" s="48">
        <v>779.5</v>
      </c>
      <c r="C72" s="48">
        <v>1635</v>
      </c>
    </row>
    <row r="73" spans="1:3" x14ac:dyDescent="0.35">
      <c r="A73" s="47" t="s">
        <v>610</v>
      </c>
      <c r="B73" s="48">
        <v>1346.3</v>
      </c>
      <c r="C73" s="50"/>
    </row>
    <row r="74" spans="1:3" x14ac:dyDescent="0.35">
      <c r="A74" s="47" t="s">
        <v>150</v>
      </c>
      <c r="B74" s="48">
        <v>175.7</v>
      </c>
      <c r="C74" s="48">
        <v>222</v>
      </c>
    </row>
    <row r="75" spans="1:3" x14ac:dyDescent="0.35">
      <c r="A75" s="47" t="s">
        <v>423</v>
      </c>
      <c r="B75" s="48">
        <v>4875.7</v>
      </c>
      <c r="C75" s="48">
        <v>8235</v>
      </c>
    </row>
    <row r="76" spans="1:3" x14ac:dyDescent="0.35">
      <c r="A76" s="49" t="s">
        <v>41</v>
      </c>
      <c r="B76" s="48">
        <v>4875.7</v>
      </c>
      <c r="C76" s="48">
        <v>8235</v>
      </c>
    </row>
    <row r="77" spans="1:3" x14ac:dyDescent="0.35">
      <c r="A77" s="52" t="s">
        <v>43</v>
      </c>
      <c r="B77" s="53">
        <v>28376.6</v>
      </c>
      <c r="C77" s="53">
        <v>35228</v>
      </c>
    </row>
    <row r="78" spans="1:3" x14ac:dyDescent="0.35">
      <c r="A78" s="45" t="s">
        <v>151</v>
      </c>
      <c r="B78" s="46"/>
      <c r="C78" s="46"/>
    </row>
    <row r="79" spans="1:3" x14ac:dyDescent="0.35">
      <c r="A79" s="47" t="s">
        <v>45</v>
      </c>
      <c r="B79" s="50">
        <v>28527.1</v>
      </c>
      <c r="C79" s="50">
        <v>40868</v>
      </c>
    </row>
    <row r="80" spans="1:3" x14ac:dyDescent="0.35">
      <c r="A80" s="49" t="s">
        <v>152</v>
      </c>
      <c r="B80" s="50">
        <v>28527.1</v>
      </c>
      <c r="C80" s="50">
        <v>40868</v>
      </c>
    </row>
    <row r="81" spans="1:3" x14ac:dyDescent="0.35">
      <c r="A81" s="49" t="s">
        <v>153</v>
      </c>
      <c r="B81" s="50">
        <v>28527.1</v>
      </c>
      <c r="C81" s="50">
        <v>40868</v>
      </c>
    </row>
    <row r="82" spans="1:3" x14ac:dyDescent="0.35">
      <c r="A82" s="47" t="s">
        <v>157</v>
      </c>
      <c r="B82" s="48">
        <v>970.9</v>
      </c>
      <c r="C82" s="48">
        <v>1140</v>
      </c>
    </row>
    <row r="83" spans="1:3" x14ac:dyDescent="0.35">
      <c r="A83" s="47" t="s">
        <v>158</v>
      </c>
      <c r="B83" s="48">
        <v>6568.7</v>
      </c>
      <c r="C83" s="48">
        <v>8705</v>
      </c>
    </row>
    <row r="84" spans="1:3" x14ac:dyDescent="0.35">
      <c r="A84" s="49" t="s">
        <v>159</v>
      </c>
      <c r="B84" s="48">
        <v>1300.5</v>
      </c>
      <c r="C84" s="50"/>
    </row>
    <row r="85" spans="1:3" x14ac:dyDescent="0.35">
      <c r="A85" s="49" t="s">
        <v>160</v>
      </c>
      <c r="B85" s="48">
        <v>1300.5</v>
      </c>
      <c r="C85" s="50"/>
    </row>
    <row r="86" spans="1:3" x14ac:dyDescent="0.35">
      <c r="A86" s="49" t="s">
        <v>47</v>
      </c>
      <c r="B86" s="48">
        <v>5268.2</v>
      </c>
      <c r="C86" s="48">
        <v>8705</v>
      </c>
    </row>
    <row r="87" spans="1:3" x14ac:dyDescent="0.35">
      <c r="A87" s="47" t="s">
        <v>49</v>
      </c>
      <c r="B87" s="50">
        <v>36066.699999999997</v>
      </c>
      <c r="C87" s="50">
        <v>50713</v>
      </c>
    </row>
    <row r="88" spans="1:3" x14ac:dyDescent="0.35">
      <c r="A88" s="45" t="s">
        <v>51</v>
      </c>
      <c r="B88" s="46"/>
      <c r="C88" s="46"/>
    </row>
    <row r="89" spans="1:3" x14ac:dyDescent="0.35">
      <c r="A89" s="52" t="s">
        <v>51</v>
      </c>
      <c r="B89" s="53">
        <v>64443.3</v>
      </c>
      <c r="C89" s="53">
        <v>85941</v>
      </c>
    </row>
    <row r="90" spans="1:3" x14ac:dyDescent="0.35">
      <c r="A90" s="45" t="s">
        <v>162</v>
      </c>
      <c r="B90" s="46"/>
      <c r="C90" s="46"/>
    </row>
    <row r="91" spans="1:3" x14ac:dyDescent="0.35">
      <c r="A91" s="47" t="s">
        <v>163</v>
      </c>
      <c r="B91" s="50">
        <v>14192.1</v>
      </c>
      <c r="C91" s="50">
        <v>26535</v>
      </c>
    </row>
    <row r="92" spans="1:3" x14ac:dyDescent="0.35">
      <c r="A92" s="49" t="s">
        <v>164</v>
      </c>
      <c r="B92" s="50">
        <v>14192.1</v>
      </c>
      <c r="C92" s="50">
        <v>26535</v>
      </c>
    </row>
    <row r="93" spans="1:3" x14ac:dyDescent="0.35">
      <c r="A93" s="49" t="s">
        <v>165</v>
      </c>
      <c r="B93" s="51">
        <v>49.5</v>
      </c>
      <c r="C93" s="50"/>
    </row>
    <row r="94" spans="1:3" x14ac:dyDescent="0.35">
      <c r="A94" s="49" t="s">
        <v>611</v>
      </c>
      <c r="B94" s="48">
        <v>3013.2</v>
      </c>
      <c r="C94" s="48">
        <v>3013</v>
      </c>
    </row>
    <row r="95" spans="1:3" x14ac:dyDescent="0.35">
      <c r="A95" s="49" t="s">
        <v>166</v>
      </c>
      <c r="B95" s="48">
        <v>8031.7</v>
      </c>
      <c r="C95" s="48">
        <v>7936</v>
      </c>
    </row>
    <row r="96" spans="1:3" x14ac:dyDescent="0.35">
      <c r="A96" s="49" t="s">
        <v>167</v>
      </c>
      <c r="B96" s="48">
        <v>592.4</v>
      </c>
      <c r="C96" s="48">
        <v>590</v>
      </c>
    </row>
    <row r="97" spans="1:3" x14ac:dyDescent="0.35">
      <c r="A97" s="49" t="s">
        <v>168</v>
      </c>
      <c r="B97" s="48">
        <v>7439.3</v>
      </c>
      <c r="C97" s="48">
        <v>7346</v>
      </c>
    </row>
    <row r="98" spans="1:3" x14ac:dyDescent="0.35">
      <c r="A98" s="49" t="s">
        <v>169</v>
      </c>
      <c r="B98" s="48">
        <v>9223.1</v>
      </c>
      <c r="C98" s="50">
        <v>21612</v>
      </c>
    </row>
    <row r="99" spans="1:3" x14ac:dyDescent="0.35">
      <c r="A99" s="49" t="s">
        <v>170</v>
      </c>
      <c r="B99" s="50">
        <v>13545</v>
      </c>
      <c r="C99" s="50">
        <v>24470</v>
      </c>
    </row>
    <row r="100" spans="1:3" x14ac:dyDescent="0.35">
      <c r="A100" s="49" t="s">
        <v>171</v>
      </c>
      <c r="B100" s="54">
        <v>-4321.8999999999996</v>
      </c>
      <c r="C100" s="54">
        <v>-2880</v>
      </c>
    </row>
    <row r="101" spans="1:3" x14ac:dyDescent="0.35">
      <c r="A101" s="49" t="s">
        <v>172</v>
      </c>
      <c r="B101" s="55">
        <v>-31.7</v>
      </c>
      <c r="C101" s="50"/>
    </row>
    <row r="102" spans="1:3" x14ac:dyDescent="0.35">
      <c r="A102" s="49" t="s">
        <v>173</v>
      </c>
      <c r="B102" s="48">
        <v>278.10000000000002</v>
      </c>
      <c r="C102" s="50"/>
    </row>
    <row r="103" spans="1:3" x14ac:dyDescent="0.35">
      <c r="A103" s="49" t="s">
        <v>174</v>
      </c>
      <c r="B103" s="54">
        <v>-2389.6</v>
      </c>
      <c r="C103" s="54">
        <v>-1149</v>
      </c>
    </row>
    <row r="104" spans="1:3" x14ac:dyDescent="0.35">
      <c r="A104" s="49" t="s">
        <v>175</v>
      </c>
      <c r="B104" s="54">
        <v>-2178.6999999999998</v>
      </c>
      <c r="C104" s="54">
        <v>-1987</v>
      </c>
    </row>
    <row r="105" spans="1:3" x14ac:dyDescent="0.35">
      <c r="A105" s="49" t="s">
        <v>492</v>
      </c>
      <c r="B105" s="50"/>
      <c r="C105" s="48">
        <v>256</v>
      </c>
    </row>
    <row r="106" spans="1:3" x14ac:dyDescent="0.35">
      <c r="A106" s="49" t="s">
        <v>427</v>
      </c>
      <c r="B106" s="50"/>
      <c r="C106" s="51">
        <v>22</v>
      </c>
    </row>
    <row r="107" spans="1:3" x14ac:dyDescent="0.35">
      <c r="A107" s="49" t="s">
        <v>53</v>
      </c>
      <c r="B107" s="50">
        <v>14192.1</v>
      </c>
      <c r="C107" s="50">
        <v>26535</v>
      </c>
    </row>
    <row r="108" spans="1:3" x14ac:dyDescent="0.35">
      <c r="A108" s="47" t="s">
        <v>428</v>
      </c>
      <c r="B108" s="51">
        <v>79.5</v>
      </c>
      <c r="C108" s="50"/>
    </row>
    <row r="109" spans="1:3" x14ac:dyDescent="0.35">
      <c r="A109" s="45" t="s">
        <v>176</v>
      </c>
      <c r="B109" s="46"/>
      <c r="C109" s="46"/>
    </row>
    <row r="110" spans="1:3" x14ac:dyDescent="0.35">
      <c r="A110" s="52" t="s">
        <v>57</v>
      </c>
      <c r="B110" s="53">
        <v>14271.6</v>
      </c>
      <c r="C110" s="53">
        <v>26535</v>
      </c>
    </row>
    <row r="111" spans="1:3" x14ac:dyDescent="0.35">
      <c r="A111" s="45" t="s">
        <v>177</v>
      </c>
      <c r="B111" s="46"/>
      <c r="C111" s="46"/>
    </row>
    <row r="112" spans="1:3" x14ac:dyDescent="0.35">
      <c r="A112" s="52" t="s">
        <v>60</v>
      </c>
      <c r="B112" s="53">
        <v>78714.899999999994</v>
      </c>
      <c r="C112" s="53">
        <v>112476</v>
      </c>
    </row>
    <row r="113" spans="1:3" x14ac:dyDescent="0.35">
      <c r="A113" s="45" t="s">
        <v>178</v>
      </c>
      <c r="B113" s="46"/>
      <c r="C113" s="46"/>
    </row>
    <row r="114" spans="1:3" x14ac:dyDescent="0.35">
      <c r="A114" s="47" t="s">
        <v>179</v>
      </c>
      <c r="B114" s="48">
        <v>947.9</v>
      </c>
      <c r="C114" s="48">
        <v>944.8</v>
      </c>
    </row>
    <row r="115" spans="1:3" x14ac:dyDescent="0.35">
      <c r="A115" s="49" t="s">
        <v>180</v>
      </c>
      <c r="B115" s="48">
        <v>947.54</v>
      </c>
      <c r="C115" s="48">
        <v>944.8</v>
      </c>
    </row>
    <row r="116" spans="1:3" x14ac:dyDescent="0.35">
      <c r="A116" s="49" t="s">
        <v>181</v>
      </c>
      <c r="B116" s="51">
        <v>0.37</v>
      </c>
      <c r="C116" s="50">
        <v>0</v>
      </c>
    </row>
    <row r="117" spans="1:3" x14ac:dyDescent="0.35">
      <c r="A117" s="47" t="s">
        <v>182</v>
      </c>
      <c r="B117" s="48">
        <v>3200</v>
      </c>
      <c r="C117" s="48">
        <v>3200</v>
      </c>
    </row>
    <row r="118" spans="1:3" x14ac:dyDescent="0.35">
      <c r="A118" s="47" t="s">
        <v>183</v>
      </c>
      <c r="B118" s="48">
        <v>947.9</v>
      </c>
      <c r="C118" s="48">
        <v>944.8</v>
      </c>
    </row>
    <row r="119" spans="1:3" x14ac:dyDescent="0.35">
      <c r="A119" s="49" t="s">
        <v>184</v>
      </c>
      <c r="B119" s="48">
        <v>947.54</v>
      </c>
      <c r="C119" s="48">
        <v>944.8</v>
      </c>
    </row>
    <row r="120" spans="1:3" x14ac:dyDescent="0.35">
      <c r="A120" s="49" t="s">
        <v>185</v>
      </c>
      <c r="B120" s="51">
        <v>0.37</v>
      </c>
      <c r="C120" s="50">
        <v>0</v>
      </c>
    </row>
    <row r="121" spans="1:3" x14ac:dyDescent="0.35">
      <c r="A121" s="45" t="s">
        <v>186</v>
      </c>
      <c r="B121" s="46"/>
      <c r="C121" s="46"/>
    </row>
    <row r="122" spans="1:3" x14ac:dyDescent="0.35">
      <c r="A122" s="47" t="s">
        <v>187</v>
      </c>
      <c r="B122" s="51">
        <v>1</v>
      </c>
      <c r="C122" s="51">
        <v>1</v>
      </c>
    </row>
    <row r="123" spans="1:3" x14ac:dyDescent="0.35">
      <c r="A123" s="45" t="s">
        <v>188</v>
      </c>
      <c r="B123" s="46"/>
      <c r="C123" s="46"/>
    </row>
    <row r="124" spans="1:3" x14ac:dyDescent="0.35">
      <c r="A124" s="47" t="s">
        <v>189</v>
      </c>
      <c r="B124" s="48">
        <v>1050.0999999999999</v>
      </c>
      <c r="C124" s="48">
        <v>1260</v>
      </c>
    </row>
    <row r="125" spans="1:3" x14ac:dyDescent="0.35">
      <c r="A125" s="49" t="s">
        <v>190</v>
      </c>
      <c r="B125" s="48">
        <v>1050.0999999999999</v>
      </c>
      <c r="C125" s="48">
        <v>1260</v>
      </c>
    </row>
    <row r="126" spans="1:3" x14ac:dyDescent="0.35">
      <c r="A126" s="47" t="s">
        <v>192</v>
      </c>
      <c r="B126" s="50">
        <v>17102.400000000001</v>
      </c>
      <c r="C126" s="50">
        <v>24675</v>
      </c>
    </row>
    <row r="127" spans="1:3" x14ac:dyDescent="0.35">
      <c r="A127" s="45" t="s">
        <v>193</v>
      </c>
      <c r="B127" s="46"/>
      <c r="C127" s="46"/>
    </row>
    <row r="128" spans="1:3" x14ac:dyDescent="0.35">
      <c r="A128" s="47" t="s">
        <v>194</v>
      </c>
      <c r="B128" s="48">
        <v>1146.5999999999999</v>
      </c>
      <c r="C128" s="48">
        <v>1362</v>
      </c>
    </row>
    <row r="129" spans="1:3" x14ac:dyDescent="0.35">
      <c r="A129" s="49" t="s">
        <v>195</v>
      </c>
      <c r="B129" s="48">
        <v>175.7</v>
      </c>
      <c r="C129" s="48">
        <v>222</v>
      </c>
    </row>
    <row r="130" spans="1:3" x14ac:dyDescent="0.35">
      <c r="A130" s="49" t="s">
        <v>196</v>
      </c>
      <c r="B130" s="48">
        <v>970.9</v>
      </c>
      <c r="C130" s="48">
        <v>1140</v>
      </c>
    </row>
    <row r="131" spans="1:3" x14ac:dyDescent="0.35">
      <c r="A131" s="47" t="s">
        <v>197</v>
      </c>
      <c r="B131" s="48">
        <v>1146.5999999999999</v>
      </c>
      <c r="C131" s="48">
        <v>1362</v>
      </c>
    </row>
    <row r="132" spans="1:3" x14ac:dyDescent="0.35">
      <c r="A132" s="47" t="s">
        <v>198</v>
      </c>
      <c r="B132" s="50">
        <v>34790.800000000003</v>
      </c>
      <c r="C132" s="50">
        <v>43865</v>
      </c>
    </row>
    <row r="133" spans="1:3" x14ac:dyDescent="0.35">
      <c r="A133" s="45" t="s">
        <v>199</v>
      </c>
      <c r="B133" s="46"/>
      <c r="C133" s="46"/>
    </row>
    <row r="134" spans="1:3" x14ac:dyDescent="0.35">
      <c r="A134" s="47" t="s">
        <v>200</v>
      </c>
      <c r="B134" s="48">
        <v>2228</v>
      </c>
      <c r="C134" s="48">
        <v>1619</v>
      </c>
    </row>
    <row r="135" spans="1:3" x14ac:dyDescent="0.35">
      <c r="A135" s="47" t="s">
        <v>201</v>
      </c>
      <c r="B135" s="50">
        <v>13275.4</v>
      </c>
      <c r="C135" s="50">
        <v>20155</v>
      </c>
    </row>
    <row r="136" spans="1:3" x14ac:dyDescent="0.35">
      <c r="A136" s="49" t="s">
        <v>202</v>
      </c>
      <c r="B136" s="50">
        <v>11020.6</v>
      </c>
      <c r="C136" s="50"/>
    </row>
    <row r="137" spans="1:3" x14ac:dyDescent="0.35">
      <c r="A137" s="47" t="s">
        <v>203</v>
      </c>
      <c r="B137" s="50">
        <v>12781.6</v>
      </c>
      <c r="C137" s="50">
        <v>15733</v>
      </c>
    </row>
    <row r="138" spans="1:3" x14ac:dyDescent="0.35">
      <c r="A138" s="47" t="s">
        <v>612</v>
      </c>
      <c r="B138" s="48">
        <v>1346.3</v>
      </c>
      <c r="C138" s="50"/>
    </row>
    <row r="139" spans="1:3" x14ac:dyDescent="0.35">
      <c r="A139" s="47" t="s">
        <v>205</v>
      </c>
      <c r="B139" s="50">
        <v>16861.8</v>
      </c>
      <c r="C139" s="50">
        <v>25136</v>
      </c>
    </row>
    <row r="140" spans="1:3" x14ac:dyDescent="0.35">
      <c r="A140" s="49" t="s">
        <v>206</v>
      </c>
      <c r="B140" s="48">
        <v>3228.6</v>
      </c>
      <c r="C140" s="48">
        <v>5379</v>
      </c>
    </row>
    <row r="141" spans="1:3" x14ac:dyDescent="0.35">
      <c r="A141" s="49" t="s">
        <v>207</v>
      </c>
      <c r="B141" s="50">
        <v>13633.2</v>
      </c>
      <c r="C141" s="50">
        <v>19757</v>
      </c>
    </row>
    <row r="142" spans="1:3" x14ac:dyDescent="0.35">
      <c r="A142" s="45" t="s">
        <v>208</v>
      </c>
      <c r="B142" s="46"/>
      <c r="C142" s="46"/>
    </row>
    <row r="143" spans="1:3" x14ac:dyDescent="0.35">
      <c r="A143" s="47" t="s">
        <v>209</v>
      </c>
      <c r="B143" s="50">
        <v>30221</v>
      </c>
      <c r="C143" s="50">
        <v>35130</v>
      </c>
    </row>
    <row r="144" spans="1:3" x14ac:dyDescent="0.35">
      <c r="A144" s="47" t="s">
        <v>210</v>
      </c>
      <c r="B144" s="50">
        <v>33644.199999999997</v>
      </c>
      <c r="C144" s="50">
        <v>42503</v>
      </c>
    </row>
    <row r="145" spans="1:3" x14ac:dyDescent="0.35">
      <c r="A145" s="47" t="s">
        <v>212</v>
      </c>
      <c r="B145" s="48">
        <v>8000</v>
      </c>
      <c r="C145" s="51">
        <v>10000</v>
      </c>
    </row>
    <row r="146" spans="1:3" x14ac:dyDescent="0.35">
      <c r="A146" s="47" t="s">
        <v>213</v>
      </c>
      <c r="B146" s="48">
        <v>8450</v>
      </c>
      <c r="C146" s="50">
        <v>10100</v>
      </c>
    </row>
    <row r="147" spans="1:3" x14ac:dyDescent="0.35">
      <c r="A147" s="45" t="s">
        <v>214</v>
      </c>
      <c r="B147" s="46"/>
      <c r="C147" s="46"/>
    </row>
    <row r="148" spans="1:3" x14ac:dyDescent="0.35">
      <c r="A148" s="47" t="s">
        <v>215</v>
      </c>
      <c r="B148" s="48">
        <v>8343.5</v>
      </c>
      <c r="C148" s="50">
        <v>42503</v>
      </c>
    </row>
    <row r="149" spans="1:3" x14ac:dyDescent="0.35">
      <c r="A149" s="49" t="s">
        <v>216</v>
      </c>
      <c r="B149" s="48">
        <v>780.9</v>
      </c>
      <c r="C149" s="50"/>
    </row>
    <row r="150" spans="1:3" x14ac:dyDescent="0.35">
      <c r="A150" s="49" t="s">
        <v>217</v>
      </c>
      <c r="B150" s="48">
        <v>1529.1</v>
      </c>
      <c r="C150" s="48">
        <v>1632</v>
      </c>
    </row>
    <row r="151" spans="1:3" x14ac:dyDescent="0.35">
      <c r="A151" s="49" t="s">
        <v>218</v>
      </c>
      <c r="B151" s="48">
        <v>2515.8000000000002</v>
      </c>
      <c r="C151" s="48">
        <v>2516</v>
      </c>
    </row>
    <row r="152" spans="1:3" x14ac:dyDescent="0.35">
      <c r="A152" s="49" t="s">
        <v>219</v>
      </c>
      <c r="B152" s="48">
        <v>441.6</v>
      </c>
      <c r="C152" s="48">
        <v>3256</v>
      </c>
    </row>
    <row r="153" spans="1:3" x14ac:dyDescent="0.35">
      <c r="A153" s="49" t="s">
        <v>220</v>
      </c>
      <c r="B153" s="48">
        <v>3076.1</v>
      </c>
      <c r="C153" s="48">
        <v>3077</v>
      </c>
    </row>
    <row r="154" spans="1:3" x14ac:dyDescent="0.35">
      <c r="A154" s="49" t="s">
        <v>613</v>
      </c>
      <c r="B154" s="50"/>
      <c r="C154" s="48">
        <v>2132</v>
      </c>
    </row>
    <row r="155" spans="1:3" x14ac:dyDescent="0.35">
      <c r="A155" s="49" t="s">
        <v>431</v>
      </c>
      <c r="B155" s="50"/>
      <c r="C155" s="50">
        <v>29890</v>
      </c>
    </row>
    <row r="156" spans="1:3" x14ac:dyDescent="0.35">
      <c r="A156" s="47" t="s">
        <v>221</v>
      </c>
      <c r="B156" s="48">
        <v>4044.9</v>
      </c>
      <c r="C156" s="48">
        <v>4148</v>
      </c>
    </row>
    <row r="157" spans="1:3" x14ac:dyDescent="0.35">
      <c r="A157" s="47" t="s">
        <v>222</v>
      </c>
      <c r="B157" s="48">
        <v>3517.7</v>
      </c>
      <c r="C157" s="48">
        <v>6333</v>
      </c>
    </row>
    <row r="158" spans="1:3" x14ac:dyDescent="0.35">
      <c r="A158" s="47" t="s">
        <v>432</v>
      </c>
      <c r="B158" s="50"/>
      <c r="C158" s="50">
        <v>32022</v>
      </c>
    </row>
    <row r="159" spans="1:3" x14ac:dyDescent="0.35">
      <c r="A159" s="45" t="s">
        <v>235</v>
      </c>
      <c r="B159" s="46"/>
      <c r="C159" s="46"/>
    </row>
    <row r="160" spans="1:3" x14ac:dyDescent="0.35">
      <c r="A160" s="47" t="s">
        <v>236</v>
      </c>
      <c r="B160" s="51">
        <v>9</v>
      </c>
      <c r="C160" s="51">
        <v>8</v>
      </c>
    </row>
    <row r="161" spans="1:3" x14ac:dyDescent="0.35">
      <c r="A161" s="47" t="s">
        <v>238</v>
      </c>
      <c r="B161" s="56">
        <v>0</v>
      </c>
      <c r="C161" s="56">
        <v>0</v>
      </c>
    </row>
    <row r="162" spans="1:3" x14ac:dyDescent="0.35">
      <c r="A162" s="45" t="s">
        <v>82</v>
      </c>
      <c r="B162" s="46"/>
      <c r="C162" s="46"/>
    </row>
    <row r="163" spans="1:3" x14ac:dyDescent="0.35">
      <c r="A163" s="47" t="s">
        <v>433</v>
      </c>
      <c r="B163" s="51">
        <v>79.5</v>
      </c>
      <c r="C163" s="50"/>
    </row>
    <row r="164" spans="1:3" x14ac:dyDescent="0.35">
      <c r="A164" s="47" t="s">
        <v>240</v>
      </c>
      <c r="B164" s="48">
        <v>1094.7</v>
      </c>
      <c r="C164" s="50">
        <v>13133</v>
      </c>
    </row>
    <row r="165" spans="1:3" x14ac:dyDescent="0.35">
      <c r="A165" s="47" t="s">
        <v>241</v>
      </c>
      <c r="B165" s="50">
        <v>69676.2</v>
      </c>
      <c r="C165" s="50">
        <v>99310</v>
      </c>
    </row>
    <row r="166" spans="1:3" x14ac:dyDescent="0.35">
      <c r="A166" s="47" t="s">
        <v>242</v>
      </c>
      <c r="B166" s="48">
        <v>3268.4</v>
      </c>
      <c r="C166" s="48">
        <v>7268</v>
      </c>
    </row>
    <row r="167" spans="1:3" x14ac:dyDescent="0.35">
      <c r="A167" s="47" t="s">
        <v>243</v>
      </c>
      <c r="B167" s="48">
        <v>3423.2</v>
      </c>
      <c r="C167" s="48">
        <v>7373</v>
      </c>
    </row>
    <row r="168" spans="1:3" x14ac:dyDescent="0.35">
      <c r="A168" s="47" t="s">
        <v>244</v>
      </c>
      <c r="B168" s="50">
        <v>33723.699999999997</v>
      </c>
      <c r="C168" s="50">
        <v>42503</v>
      </c>
    </row>
    <row r="169" spans="1:3" x14ac:dyDescent="0.35">
      <c r="A169" s="47" t="s">
        <v>245</v>
      </c>
      <c r="B169" s="48">
        <v>3215.9</v>
      </c>
      <c r="C169" s="48">
        <v>2802</v>
      </c>
    </row>
    <row r="170" spans="1:3" x14ac:dyDescent="0.35">
      <c r="A170" s="47" t="s">
        <v>246</v>
      </c>
      <c r="B170" s="50">
        <v>44492.6</v>
      </c>
      <c r="C170" s="50">
        <v>61665</v>
      </c>
    </row>
    <row r="171" spans="1:3" x14ac:dyDescent="0.35">
      <c r="A171" s="47" t="s">
        <v>247</v>
      </c>
      <c r="B171" s="50">
        <v>44492.6</v>
      </c>
      <c r="C171" s="50">
        <v>61665</v>
      </c>
    </row>
    <row r="172" spans="1:3" x14ac:dyDescent="0.35">
      <c r="A172" s="47" t="s">
        <v>248</v>
      </c>
      <c r="B172" s="48">
        <v>1300.5</v>
      </c>
      <c r="C172" s="50"/>
    </row>
    <row r="173" spans="1:3" x14ac:dyDescent="0.35">
      <c r="A173" s="47" t="s">
        <v>249</v>
      </c>
      <c r="B173" s="50">
        <v>14192.1</v>
      </c>
      <c r="C173" s="50">
        <v>26535</v>
      </c>
    </row>
    <row r="174" spans="1:3" x14ac:dyDescent="0.35">
      <c r="A174" s="47" t="s">
        <v>250</v>
      </c>
      <c r="B174" s="48">
        <v>2335</v>
      </c>
      <c r="C174" s="50">
        <v>14116</v>
      </c>
    </row>
    <row r="175" spans="1:3" x14ac:dyDescent="0.35">
      <c r="A175" s="47" t="s">
        <v>251</v>
      </c>
      <c r="B175" s="48">
        <v>2255.5</v>
      </c>
      <c r="C175" s="50">
        <v>14116</v>
      </c>
    </row>
    <row r="176" spans="1:3" x14ac:dyDescent="0.35">
      <c r="A176" s="47" t="s">
        <v>252</v>
      </c>
      <c r="B176" s="50">
        <v>47836.3</v>
      </c>
      <c r="C176" s="50">
        <v>69038</v>
      </c>
    </row>
    <row r="177" spans="1:3" x14ac:dyDescent="0.35">
      <c r="A177" s="47" t="s">
        <v>253</v>
      </c>
      <c r="B177" s="50">
        <v>47915.8</v>
      </c>
      <c r="C177" s="50">
        <v>69038</v>
      </c>
    </row>
    <row r="178" spans="1:3" x14ac:dyDescent="0.35">
      <c r="A178" s="47" t="s">
        <v>254</v>
      </c>
      <c r="B178" s="50">
        <v>50338.3</v>
      </c>
      <c r="C178" s="50">
        <v>77248</v>
      </c>
    </row>
    <row r="179" spans="1:3" x14ac:dyDescent="0.35">
      <c r="A179" s="47" t="s">
        <v>255</v>
      </c>
      <c r="B179" s="50">
        <v>40204.9</v>
      </c>
      <c r="C179" s="50">
        <v>50949</v>
      </c>
    </row>
    <row r="180" spans="1:3" x14ac:dyDescent="0.35">
      <c r="A180" s="47" t="s">
        <v>256</v>
      </c>
      <c r="B180" s="48">
        <v>4363.1000000000004</v>
      </c>
      <c r="C180" s="50">
        <v>20401</v>
      </c>
    </row>
    <row r="181" spans="1:3" x14ac:dyDescent="0.35">
      <c r="A181" s="47" t="s">
        <v>257</v>
      </c>
      <c r="B181" s="48">
        <v>939.9</v>
      </c>
      <c r="C181" s="50">
        <v>13028</v>
      </c>
    </row>
    <row r="182" spans="1:3" x14ac:dyDescent="0.35">
      <c r="A182" s="47" t="s">
        <v>434</v>
      </c>
      <c r="B182" s="48">
        <v>9127.4</v>
      </c>
      <c r="C182" s="50">
        <v>28594</v>
      </c>
    </row>
    <row r="183" spans="1:3" x14ac:dyDescent="0.35">
      <c r="A183" s="47" t="s">
        <v>258</v>
      </c>
      <c r="B183" s="50">
        <v>14192.1</v>
      </c>
      <c r="C183" s="50">
        <v>26513</v>
      </c>
    </row>
    <row r="184" spans="1:3" x14ac:dyDescent="0.35">
      <c r="A184" s="45" t="s">
        <v>259</v>
      </c>
      <c r="B184" s="46"/>
      <c r="C184" s="46"/>
    </row>
    <row r="185" spans="1:3" x14ac:dyDescent="0.35">
      <c r="A185" s="47" t="s">
        <v>260</v>
      </c>
      <c r="B185" s="50">
        <v>17903</v>
      </c>
      <c r="C185" s="50">
        <v>16886</v>
      </c>
    </row>
    <row r="186" spans="1:3" x14ac:dyDescent="0.35">
      <c r="A186" s="45" t="s">
        <v>261</v>
      </c>
      <c r="B186" s="46"/>
      <c r="C186" s="46"/>
    </row>
    <row r="187" spans="1:3" x14ac:dyDescent="0.35">
      <c r="A187" s="47" t="s">
        <v>262</v>
      </c>
      <c r="B187" s="48">
        <v>1146.5999999999999</v>
      </c>
      <c r="C187" s="50"/>
    </row>
    <row r="188" spans="1:3" x14ac:dyDescent="0.35">
      <c r="A188" s="49" t="s">
        <v>263</v>
      </c>
      <c r="B188" s="48">
        <v>221.2</v>
      </c>
      <c r="C188" s="50"/>
    </row>
    <row r="189" spans="1:3" x14ac:dyDescent="0.35">
      <c r="A189" s="49" t="s">
        <v>264</v>
      </c>
      <c r="B189" s="48">
        <v>189.1</v>
      </c>
      <c r="C189" s="50"/>
    </row>
    <row r="190" spans="1:3" x14ac:dyDescent="0.35">
      <c r="A190" s="49" t="s">
        <v>265</v>
      </c>
      <c r="B190" s="48">
        <v>172.2</v>
      </c>
      <c r="C190" s="50"/>
    </row>
    <row r="191" spans="1:3" x14ac:dyDescent="0.35">
      <c r="A191" s="49" t="s">
        <v>266</v>
      </c>
      <c r="B191" s="48">
        <v>130.30000000000001</v>
      </c>
      <c r="C191" s="50"/>
    </row>
    <row r="192" spans="1:3" x14ac:dyDescent="0.35">
      <c r="A192" s="49" t="s">
        <v>267</v>
      </c>
      <c r="B192" s="48">
        <v>108.6</v>
      </c>
      <c r="C192" s="50"/>
    </row>
    <row r="193" spans="1:3" x14ac:dyDescent="0.35">
      <c r="A193" s="49" t="s">
        <v>268</v>
      </c>
      <c r="B193" s="48">
        <v>625.6</v>
      </c>
      <c r="C193" s="50"/>
    </row>
    <row r="194" spans="1:3" x14ac:dyDescent="0.35">
      <c r="A194" s="49" t="s">
        <v>269</v>
      </c>
      <c r="B194" s="48">
        <v>300.39999999999998</v>
      </c>
      <c r="C194" s="50"/>
    </row>
    <row r="195" spans="1:3" x14ac:dyDescent="0.35">
      <c r="A195" s="47" t="s">
        <v>270</v>
      </c>
      <c r="B195" s="48">
        <v>361.3</v>
      </c>
      <c r="C195" s="50"/>
    </row>
    <row r="196" spans="1:3" x14ac:dyDescent="0.35">
      <c r="A196" s="47" t="s">
        <v>271</v>
      </c>
      <c r="B196" s="48">
        <v>238.9</v>
      </c>
      <c r="C196" s="50"/>
    </row>
    <row r="197" spans="1:3" x14ac:dyDescent="0.35">
      <c r="A197" s="47" t="s">
        <v>272</v>
      </c>
      <c r="B197" s="48">
        <v>625.6</v>
      </c>
      <c r="C197" s="50"/>
    </row>
    <row r="198" spans="1:3" x14ac:dyDescent="0.35">
      <c r="A198" s="45" t="s">
        <v>273</v>
      </c>
      <c r="B198" s="46"/>
      <c r="C198" s="46"/>
    </row>
    <row r="199" spans="1:3" x14ac:dyDescent="0.35">
      <c r="A199" s="47" t="s">
        <v>274</v>
      </c>
      <c r="B199" s="50">
        <v>47000</v>
      </c>
      <c r="C199" s="50">
        <v>50000</v>
      </c>
    </row>
    <row r="200" spans="1:3" x14ac:dyDescent="0.35">
      <c r="A200" s="47" t="s">
        <v>275</v>
      </c>
      <c r="B200" s="50">
        <v>47000</v>
      </c>
      <c r="C200" s="50">
        <v>50000</v>
      </c>
    </row>
    <row r="201" spans="1:3" x14ac:dyDescent="0.35">
      <c r="A201"/>
      <c r="B201"/>
      <c r="C201"/>
    </row>
    <row r="202" spans="1:3" x14ac:dyDescent="0.35">
      <c r="A202"/>
      <c r="B202"/>
      <c r="C202"/>
    </row>
    <row r="203" spans="1:3" x14ac:dyDescent="0.35">
      <c r="A203"/>
      <c r="B203"/>
      <c r="C203"/>
    </row>
    <row r="204" spans="1:3" x14ac:dyDescent="0.35">
      <c r="A204" s="39" t="s">
        <v>110</v>
      </c>
      <c r="B204" s="40" t="s">
        <v>111</v>
      </c>
      <c r="C204" s="40" t="s">
        <v>112</v>
      </c>
    </row>
    <row r="205" spans="1:3" x14ac:dyDescent="0.35">
      <c r="A205" s="41" t="s">
        <v>113</v>
      </c>
      <c r="B205" s="42">
        <v>45657</v>
      </c>
      <c r="C205" s="42">
        <v>46022</v>
      </c>
    </row>
    <row r="206" spans="1:3" x14ac:dyDescent="0.35">
      <c r="A206" s="41" t="s">
        <v>114</v>
      </c>
      <c r="B206" s="42" t="s">
        <v>115</v>
      </c>
      <c r="C206" s="42" t="s">
        <v>115</v>
      </c>
    </row>
    <row r="207" spans="1:3" x14ac:dyDescent="0.35">
      <c r="A207" s="43" t="s">
        <v>276</v>
      </c>
      <c r="B207" s="39"/>
      <c r="C207" s="39"/>
    </row>
    <row r="208" spans="1:3" x14ac:dyDescent="0.35">
      <c r="A208" s="43" t="s">
        <v>117</v>
      </c>
      <c r="B208" s="44" t="s">
        <v>118</v>
      </c>
      <c r="C208" s="44" t="s">
        <v>119</v>
      </c>
    </row>
    <row r="209" spans="1:3" x14ac:dyDescent="0.35">
      <c r="A209" s="45" t="s">
        <v>277</v>
      </c>
      <c r="B209" s="46"/>
      <c r="C209" s="46"/>
    </row>
    <row r="210" spans="1:3" x14ac:dyDescent="0.35">
      <c r="A210" s="47" t="s">
        <v>278</v>
      </c>
      <c r="B210" s="50">
        <v>40747.9</v>
      </c>
      <c r="C210" s="50">
        <v>60958</v>
      </c>
    </row>
    <row r="211" spans="1:3" x14ac:dyDescent="0.35">
      <c r="A211" s="49" t="s">
        <v>279</v>
      </c>
      <c r="B211" s="50">
        <v>40747.9</v>
      </c>
      <c r="C211" s="50">
        <v>60958</v>
      </c>
    </row>
    <row r="212" spans="1:3" x14ac:dyDescent="0.35">
      <c r="A212" s="47" t="s">
        <v>528</v>
      </c>
      <c r="B212" s="48">
        <v>4294.8</v>
      </c>
      <c r="C212" s="48">
        <v>4221</v>
      </c>
    </row>
    <row r="213" spans="1:3" x14ac:dyDescent="0.35">
      <c r="A213" s="52" t="s">
        <v>64</v>
      </c>
      <c r="B213" s="53">
        <v>45042.7</v>
      </c>
      <c r="C213" s="53">
        <v>65179</v>
      </c>
    </row>
    <row r="214" spans="1:3" x14ac:dyDescent="0.35">
      <c r="A214" s="45" t="s">
        <v>280</v>
      </c>
      <c r="B214" s="46"/>
      <c r="C214" s="46"/>
    </row>
    <row r="215" spans="1:3" x14ac:dyDescent="0.35">
      <c r="A215" s="47" t="s">
        <v>281</v>
      </c>
      <c r="B215" s="48">
        <v>8418.2999999999993</v>
      </c>
      <c r="C215" s="50">
        <v>11052</v>
      </c>
    </row>
    <row r="216" spans="1:3" x14ac:dyDescent="0.35">
      <c r="A216" s="49" t="s">
        <v>282</v>
      </c>
      <c r="B216" s="48">
        <v>8418.2999999999993</v>
      </c>
      <c r="C216" s="50">
        <v>11052</v>
      </c>
    </row>
    <row r="217" spans="1:3" x14ac:dyDescent="0.35">
      <c r="A217" s="52" t="s">
        <v>68</v>
      </c>
      <c r="B217" s="53">
        <v>36624.400000000001</v>
      </c>
      <c r="C217" s="53">
        <v>54127</v>
      </c>
    </row>
    <row r="218" spans="1:3" x14ac:dyDescent="0.35">
      <c r="A218" s="47" t="s">
        <v>286</v>
      </c>
      <c r="B218" s="50">
        <v>19584.400000000001</v>
      </c>
      <c r="C218" s="50">
        <v>24431</v>
      </c>
    </row>
    <row r="219" spans="1:3" x14ac:dyDescent="0.35">
      <c r="A219" s="49" t="s">
        <v>287</v>
      </c>
      <c r="B219" s="48">
        <v>7153.8</v>
      </c>
      <c r="C219" s="48">
        <v>8194</v>
      </c>
    </row>
    <row r="220" spans="1:3" x14ac:dyDescent="0.35">
      <c r="A220" s="49" t="s">
        <v>529</v>
      </c>
      <c r="B220" s="50">
        <v>10990.6</v>
      </c>
      <c r="C220" s="50">
        <v>13337</v>
      </c>
    </row>
    <row r="221" spans="1:3" x14ac:dyDescent="0.35">
      <c r="A221" s="49" t="s">
        <v>289</v>
      </c>
      <c r="B221" s="48">
        <v>1440</v>
      </c>
      <c r="C221" s="48">
        <v>2900</v>
      </c>
    </row>
    <row r="222" spans="1:3" x14ac:dyDescent="0.35">
      <c r="A222" s="49" t="s">
        <v>577</v>
      </c>
      <c r="B222" s="48">
        <v>1440</v>
      </c>
      <c r="C222" s="48">
        <v>2900</v>
      </c>
    </row>
    <row r="223" spans="1:3" x14ac:dyDescent="0.35">
      <c r="A223" s="47" t="s">
        <v>76</v>
      </c>
      <c r="B223" s="50">
        <v>28002.7</v>
      </c>
      <c r="C223" s="50">
        <v>35483</v>
      </c>
    </row>
    <row r="224" spans="1:3" x14ac:dyDescent="0.35">
      <c r="A224" s="45" t="s">
        <v>292</v>
      </c>
      <c r="B224" s="46"/>
      <c r="C224" s="46"/>
    </row>
    <row r="225" spans="1:3" x14ac:dyDescent="0.35">
      <c r="A225" s="52" t="s">
        <v>293</v>
      </c>
      <c r="B225" s="53">
        <v>17040</v>
      </c>
      <c r="C225" s="53">
        <v>29696</v>
      </c>
    </row>
    <row r="226" spans="1:3" x14ac:dyDescent="0.35">
      <c r="A226" s="45" t="s">
        <v>294</v>
      </c>
      <c r="B226" s="46"/>
      <c r="C226" s="46"/>
    </row>
    <row r="227" spans="1:3" x14ac:dyDescent="0.35">
      <c r="A227" s="47" t="s">
        <v>295</v>
      </c>
      <c r="B227" s="54">
        <v>-654.9</v>
      </c>
      <c r="C227" s="54">
        <v>-895</v>
      </c>
    </row>
    <row r="228" spans="1:3" x14ac:dyDescent="0.35">
      <c r="A228" s="49" t="s">
        <v>81</v>
      </c>
      <c r="B228" s="48">
        <v>605.4</v>
      </c>
      <c r="C228" s="48">
        <v>895</v>
      </c>
    </row>
    <row r="229" spans="1:3" x14ac:dyDescent="0.35">
      <c r="A229" s="49" t="s">
        <v>296</v>
      </c>
      <c r="B229" s="48">
        <v>175.2</v>
      </c>
      <c r="C229" s="50"/>
    </row>
    <row r="230" spans="1:3" x14ac:dyDescent="0.35">
      <c r="A230" s="49" t="s">
        <v>297</v>
      </c>
      <c r="B230" s="48">
        <v>780.6</v>
      </c>
      <c r="C230" s="48">
        <v>895</v>
      </c>
    </row>
    <row r="231" spans="1:3" x14ac:dyDescent="0.35">
      <c r="A231" s="49" t="s">
        <v>300</v>
      </c>
      <c r="B231" s="55">
        <v>-49.5</v>
      </c>
      <c r="C231" s="50"/>
    </row>
    <row r="232" spans="1:3" x14ac:dyDescent="0.35">
      <c r="A232" s="49" t="s">
        <v>592</v>
      </c>
      <c r="B232" s="55">
        <v>-49.5</v>
      </c>
      <c r="C232" s="50"/>
    </row>
    <row r="233" spans="1:3" x14ac:dyDescent="0.35">
      <c r="A233" s="47" t="s">
        <v>438</v>
      </c>
      <c r="B233" s="48">
        <v>436.3</v>
      </c>
      <c r="C233" s="48">
        <v>324</v>
      </c>
    </row>
    <row r="234" spans="1:3" x14ac:dyDescent="0.35">
      <c r="A234" s="47" t="s">
        <v>304</v>
      </c>
      <c r="B234" s="50">
        <v>16821.400000000001</v>
      </c>
      <c r="C234" s="50">
        <v>29125</v>
      </c>
    </row>
    <row r="235" spans="1:3" x14ac:dyDescent="0.35">
      <c r="A235" s="45" t="s">
        <v>305</v>
      </c>
      <c r="B235" s="46"/>
      <c r="C235" s="46"/>
    </row>
    <row r="236" spans="1:3" x14ac:dyDescent="0.35">
      <c r="A236" s="47" t="s">
        <v>306</v>
      </c>
      <c r="B236" s="54">
        <v>-4141</v>
      </c>
      <c r="C236" s="54">
        <v>-3394</v>
      </c>
    </row>
    <row r="237" spans="1:3" x14ac:dyDescent="0.35">
      <c r="A237" s="49" t="s">
        <v>307</v>
      </c>
      <c r="B237" s="48">
        <v>860.6</v>
      </c>
      <c r="C237" s="48">
        <v>484</v>
      </c>
    </row>
    <row r="238" spans="1:3" x14ac:dyDescent="0.35">
      <c r="A238" s="49" t="s">
        <v>308</v>
      </c>
      <c r="B238" s="48">
        <v>860.6</v>
      </c>
      <c r="C238" s="48">
        <v>484</v>
      </c>
    </row>
    <row r="239" spans="1:3" x14ac:dyDescent="0.35">
      <c r="A239" s="49" t="s">
        <v>614</v>
      </c>
      <c r="B239" s="48">
        <v>3280.4</v>
      </c>
      <c r="C239" s="48">
        <v>2910</v>
      </c>
    </row>
    <row r="240" spans="1:3" x14ac:dyDescent="0.35">
      <c r="A240" s="45" t="s">
        <v>313</v>
      </c>
      <c r="B240" s="46"/>
      <c r="C240" s="46"/>
    </row>
    <row r="241" spans="1:3" x14ac:dyDescent="0.35">
      <c r="A241" s="52" t="s">
        <v>83</v>
      </c>
      <c r="B241" s="53">
        <v>12680.4</v>
      </c>
      <c r="C241" s="53">
        <v>25731</v>
      </c>
    </row>
    <row r="242" spans="1:3" x14ac:dyDescent="0.35">
      <c r="A242" s="45" t="s">
        <v>314</v>
      </c>
      <c r="B242" s="46"/>
      <c r="C242" s="46"/>
    </row>
    <row r="243" spans="1:3" x14ac:dyDescent="0.35">
      <c r="A243" s="47" t="s">
        <v>84</v>
      </c>
      <c r="B243" s="48">
        <v>2090.4</v>
      </c>
      <c r="C243" s="48">
        <v>5091</v>
      </c>
    </row>
    <row r="244" spans="1:3" x14ac:dyDescent="0.35">
      <c r="A244" s="49" t="s">
        <v>315</v>
      </c>
      <c r="B244" s="48">
        <v>4773.5</v>
      </c>
      <c r="C244" s="48">
        <v>6798</v>
      </c>
    </row>
    <row r="245" spans="1:3" x14ac:dyDescent="0.35">
      <c r="A245" s="49" t="s">
        <v>316</v>
      </c>
      <c r="B245" s="48">
        <v>3343.2</v>
      </c>
      <c r="C245" s="48">
        <v>4639</v>
      </c>
    </row>
    <row r="246" spans="1:3" x14ac:dyDescent="0.35">
      <c r="A246" s="49" t="s">
        <v>317</v>
      </c>
      <c r="B246" s="48">
        <v>1430.3</v>
      </c>
      <c r="C246" s="48">
        <v>2159</v>
      </c>
    </row>
    <row r="247" spans="1:3" x14ac:dyDescent="0.35">
      <c r="A247" s="49" t="s">
        <v>318</v>
      </c>
      <c r="B247" s="54">
        <v>-2683.1</v>
      </c>
      <c r="C247" s="54">
        <v>-1707</v>
      </c>
    </row>
    <row r="248" spans="1:3" x14ac:dyDescent="0.35">
      <c r="A248" s="49" t="s">
        <v>319</v>
      </c>
      <c r="B248" s="54">
        <v>-2210</v>
      </c>
      <c r="C248" s="54">
        <v>-1149</v>
      </c>
    </row>
    <row r="249" spans="1:3" x14ac:dyDescent="0.35">
      <c r="A249" s="49" t="s">
        <v>320</v>
      </c>
      <c r="B249" s="54">
        <v>-473.1</v>
      </c>
      <c r="C249" s="54">
        <v>-558</v>
      </c>
    </row>
    <row r="250" spans="1:3" x14ac:dyDescent="0.35">
      <c r="A250" s="45" t="s">
        <v>321</v>
      </c>
      <c r="B250" s="46"/>
      <c r="C250" s="46"/>
    </row>
    <row r="251" spans="1:3" x14ac:dyDescent="0.35">
      <c r="A251" s="47" t="s">
        <v>322</v>
      </c>
      <c r="B251" s="50">
        <v>10590</v>
      </c>
      <c r="C251" s="50">
        <v>20640</v>
      </c>
    </row>
    <row r="252" spans="1:3" x14ac:dyDescent="0.35">
      <c r="A252" s="45" t="s">
        <v>323</v>
      </c>
      <c r="B252" s="46"/>
      <c r="C252" s="46"/>
    </row>
    <row r="253" spans="1:3" x14ac:dyDescent="0.35">
      <c r="A253" s="52" t="s">
        <v>324</v>
      </c>
      <c r="B253" s="53">
        <v>10590</v>
      </c>
      <c r="C253" s="53">
        <v>20640</v>
      </c>
    </row>
    <row r="254" spans="1:3" x14ac:dyDescent="0.35">
      <c r="A254" s="47" t="s">
        <v>327</v>
      </c>
      <c r="B254" s="50">
        <v>10590</v>
      </c>
      <c r="C254" s="50">
        <v>20640</v>
      </c>
    </row>
    <row r="255" spans="1:3" x14ac:dyDescent="0.35">
      <c r="A255" s="47" t="s">
        <v>85</v>
      </c>
      <c r="B255" s="50">
        <v>10590</v>
      </c>
      <c r="C255" s="50">
        <v>20640</v>
      </c>
    </row>
    <row r="256" spans="1:3" x14ac:dyDescent="0.35">
      <c r="A256" s="45" t="s">
        <v>328</v>
      </c>
      <c r="B256" s="46"/>
      <c r="C256" s="46"/>
    </row>
    <row r="257" spans="1:3" x14ac:dyDescent="0.35">
      <c r="A257" s="52" t="s">
        <v>330</v>
      </c>
      <c r="B257" s="53">
        <v>10590</v>
      </c>
      <c r="C257" s="53">
        <v>20640</v>
      </c>
    </row>
    <row r="258" spans="1:3" x14ac:dyDescent="0.35">
      <c r="A258" s="45" t="s">
        <v>331</v>
      </c>
      <c r="B258" s="46"/>
      <c r="C258" s="46"/>
    </row>
    <row r="259" spans="1:3" x14ac:dyDescent="0.35">
      <c r="A259" s="47" t="s">
        <v>332</v>
      </c>
      <c r="B259" s="50">
        <v>10590</v>
      </c>
      <c r="C259" s="50">
        <v>20640</v>
      </c>
    </row>
    <row r="260" spans="1:3" x14ac:dyDescent="0.35">
      <c r="A260" s="47" t="s">
        <v>333</v>
      </c>
      <c r="B260" s="54">
        <v>-424.2</v>
      </c>
      <c r="C260" s="48">
        <v>1241</v>
      </c>
    </row>
    <row r="261" spans="1:3" x14ac:dyDescent="0.35">
      <c r="A261" s="47" t="s">
        <v>334</v>
      </c>
      <c r="B261" s="55">
        <v>-7.1</v>
      </c>
      <c r="C261" s="50"/>
    </row>
    <row r="262" spans="1:3" x14ac:dyDescent="0.35">
      <c r="A262" s="47" t="s">
        <v>335</v>
      </c>
      <c r="B262" s="51">
        <v>79.3</v>
      </c>
      <c r="C262" s="50"/>
    </row>
    <row r="263" spans="1:3" x14ac:dyDescent="0.35">
      <c r="A263" s="47" t="s">
        <v>599</v>
      </c>
      <c r="B263" s="50"/>
      <c r="C263" s="51">
        <v>9</v>
      </c>
    </row>
    <row r="264" spans="1:3" x14ac:dyDescent="0.35">
      <c r="A264" s="47" t="s">
        <v>336</v>
      </c>
      <c r="B264" s="48">
        <v>651.79999999999995</v>
      </c>
      <c r="C264" s="48">
        <v>192</v>
      </c>
    </row>
    <row r="265" spans="1:3" x14ac:dyDescent="0.35">
      <c r="A265" s="47" t="s">
        <v>337</v>
      </c>
      <c r="B265" s="54">
        <v>-294.7</v>
      </c>
      <c r="C265" s="50"/>
    </row>
    <row r="266" spans="1:3" x14ac:dyDescent="0.35">
      <c r="A266" s="47" t="s">
        <v>338</v>
      </c>
      <c r="B266" s="51">
        <v>5.0999999999999996</v>
      </c>
      <c r="C266" s="48">
        <v>1442</v>
      </c>
    </row>
    <row r="267" spans="1:3" x14ac:dyDescent="0.35">
      <c r="A267" s="52" t="s">
        <v>339</v>
      </c>
      <c r="B267" s="53">
        <v>10595.1</v>
      </c>
      <c r="C267" s="53">
        <v>22082</v>
      </c>
    </row>
    <row r="268" spans="1:3" x14ac:dyDescent="0.35">
      <c r="A268" s="47" t="s">
        <v>340</v>
      </c>
      <c r="B268" s="50">
        <v>10595.1</v>
      </c>
      <c r="C268" s="50">
        <v>22082</v>
      </c>
    </row>
    <row r="269" spans="1:3" x14ac:dyDescent="0.35">
      <c r="A269" s="45" t="s">
        <v>341</v>
      </c>
      <c r="B269" s="46"/>
      <c r="C269" s="46"/>
    </row>
    <row r="270" spans="1:3" x14ac:dyDescent="0.35">
      <c r="A270" s="47" t="s">
        <v>342</v>
      </c>
      <c r="B270" s="50">
        <v>10590</v>
      </c>
      <c r="C270" s="50">
        <v>20640</v>
      </c>
    </row>
    <row r="271" spans="1:3" x14ac:dyDescent="0.35">
      <c r="A271" s="49" t="s">
        <v>343</v>
      </c>
      <c r="B271" s="50">
        <v>10590</v>
      </c>
      <c r="C271" s="50">
        <v>20640</v>
      </c>
    </row>
    <row r="272" spans="1:3" x14ac:dyDescent="0.35">
      <c r="A272" s="49" t="s">
        <v>344</v>
      </c>
      <c r="B272" s="48">
        <v>900.61</v>
      </c>
      <c r="C272" s="48">
        <v>897.3</v>
      </c>
    </row>
    <row r="273" spans="1:3" x14ac:dyDescent="0.35">
      <c r="A273" s="49" t="s">
        <v>345</v>
      </c>
      <c r="B273" s="51">
        <v>11.76</v>
      </c>
      <c r="C273" s="51">
        <v>23</v>
      </c>
    </row>
    <row r="274" spans="1:3" x14ac:dyDescent="0.35">
      <c r="A274" s="49" t="s">
        <v>346</v>
      </c>
      <c r="B274" s="51">
        <v>11.76</v>
      </c>
      <c r="C274" s="51">
        <v>23</v>
      </c>
    </row>
    <row r="275" spans="1:3" x14ac:dyDescent="0.35">
      <c r="A275" s="49" t="s">
        <v>347</v>
      </c>
      <c r="B275" s="51">
        <v>16.36</v>
      </c>
      <c r="C275" s="51">
        <v>26.78</v>
      </c>
    </row>
    <row r="276" spans="1:3" x14ac:dyDescent="0.35">
      <c r="A276" s="47" t="s">
        <v>348</v>
      </c>
      <c r="B276" s="50">
        <v>10590</v>
      </c>
      <c r="C276" s="50">
        <v>20640</v>
      </c>
    </row>
    <row r="277" spans="1:3" x14ac:dyDescent="0.35">
      <c r="A277" s="47" t="s">
        <v>349</v>
      </c>
      <c r="B277" s="51">
        <v>1</v>
      </c>
      <c r="C277" s="51">
        <v>1</v>
      </c>
    </row>
    <row r="278" spans="1:3" x14ac:dyDescent="0.35">
      <c r="A278" s="49" t="s">
        <v>350</v>
      </c>
      <c r="B278" s="48">
        <v>900.61</v>
      </c>
      <c r="C278" s="48">
        <v>897.3</v>
      </c>
    </row>
    <row r="279" spans="1:3" x14ac:dyDescent="0.35">
      <c r="A279" s="49" t="s">
        <v>351</v>
      </c>
      <c r="B279" s="51">
        <v>11.76</v>
      </c>
      <c r="C279" s="51">
        <v>23</v>
      </c>
    </row>
    <row r="280" spans="1:3" x14ac:dyDescent="0.35">
      <c r="A280" s="49" t="s">
        <v>352</v>
      </c>
      <c r="B280" s="51">
        <v>11.76</v>
      </c>
      <c r="C280" s="51">
        <v>23</v>
      </c>
    </row>
    <row r="281" spans="1:3" x14ac:dyDescent="0.35">
      <c r="A281" s="49" t="s">
        <v>353</v>
      </c>
      <c r="B281" s="51">
        <v>16.36</v>
      </c>
      <c r="C281" s="51">
        <v>26.78</v>
      </c>
    </row>
    <row r="282" spans="1:3" x14ac:dyDescent="0.35">
      <c r="A282" s="47" t="s">
        <v>354</v>
      </c>
      <c r="B282" s="50">
        <v>0</v>
      </c>
      <c r="C282" s="50">
        <v>0</v>
      </c>
    </row>
    <row r="283" spans="1:3" x14ac:dyDescent="0.35">
      <c r="A283" s="47" t="s">
        <v>355</v>
      </c>
      <c r="B283" s="51">
        <v>11.76</v>
      </c>
      <c r="C283" s="51">
        <v>24.61</v>
      </c>
    </row>
    <row r="284" spans="1:3" x14ac:dyDescent="0.35">
      <c r="A284" s="45" t="s">
        <v>356</v>
      </c>
      <c r="B284" s="46"/>
      <c r="C284" s="46"/>
    </row>
    <row r="285" spans="1:3" x14ac:dyDescent="0.35">
      <c r="A285" s="47" t="s">
        <v>357</v>
      </c>
      <c r="B285" s="50">
        <v>10590</v>
      </c>
      <c r="C285" s="50">
        <v>20640</v>
      </c>
    </row>
    <row r="286" spans="1:3" x14ac:dyDescent="0.35">
      <c r="A286" s="49" t="s">
        <v>358</v>
      </c>
      <c r="B286" s="50">
        <v>10590</v>
      </c>
      <c r="C286" s="50">
        <v>20640</v>
      </c>
    </row>
    <row r="287" spans="1:3" x14ac:dyDescent="0.35">
      <c r="A287" s="49" t="s">
        <v>359</v>
      </c>
      <c r="B287" s="48">
        <v>904.06</v>
      </c>
      <c r="C287" s="48">
        <v>899.3</v>
      </c>
    </row>
    <row r="288" spans="1:3" x14ac:dyDescent="0.35">
      <c r="A288" s="49" t="s">
        <v>360</v>
      </c>
      <c r="B288" s="51">
        <v>11.71</v>
      </c>
      <c r="C288" s="51">
        <v>22.95</v>
      </c>
    </row>
    <row r="289" spans="1:3" x14ac:dyDescent="0.35">
      <c r="A289" s="49" t="s">
        <v>361</v>
      </c>
      <c r="B289" s="51">
        <v>11.71</v>
      </c>
      <c r="C289" s="51">
        <v>22.95</v>
      </c>
    </row>
    <row r="290" spans="1:3" x14ac:dyDescent="0.35">
      <c r="A290" s="49" t="s">
        <v>362</v>
      </c>
      <c r="B290" s="51">
        <v>16.29</v>
      </c>
      <c r="C290" s="51">
        <v>26.73</v>
      </c>
    </row>
    <row r="291" spans="1:3" x14ac:dyDescent="0.35">
      <c r="A291" s="47" t="s">
        <v>363</v>
      </c>
      <c r="B291" s="50">
        <v>10590</v>
      </c>
      <c r="C291" s="50">
        <v>20640</v>
      </c>
    </row>
    <row r="292" spans="1:3" x14ac:dyDescent="0.35">
      <c r="A292" s="47" t="s">
        <v>364</v>
      </c>
      <c r="B292" s="51">
        <v>1</v>
      </c>
      <c r="C292" s="51">
        <v>1</v>
      </c>
    </row>
    <row r="293" spans="1:3" x14ac:dyDescent="0.35">
      <c r="A293" s="49" t="s">
        <v>365</v>
      </c>
      <c r="B293" s="48">
        <v>904.06</v>
      </c>
      <c r="C293" s="48">
        <v>899.3</v>
      </c>
    </row>
    <row r="294" spans="1:3" x14ac:dyDescent="0.35">
      <c r="A294" s="49" t="s">
        <v>366</v>
      </c>
      <c r="B294" s="51">
        <v>11.71</v>
      </c>
      <c r="C294" s="51">
        <v>22.95</v>
      </c>
    </row>
    <row r="295" spans="1:3" x14ac:dyDescent="0.35">
      <c r="A295" s="49" t="s">
        <v>367</v>
      </c>
      <c r="B295" s="51">
        <v>11.71</v>
      </c>
      <c r="C295" s="51">
        <v>22.95</v>
      </c>
    </row>
    <row r="296" spans="1:3" x14ac:dyDescent="0.35">
      <c r="A296" s="49" t="s">
        <v>368</v>
      </c>
      <c r="B296" s="51">
        <v>16.29</v>
      </c>
      <c r="C296" s="51">
        <v>26.73</v>
      </c>
    </row>
    <row r="297" spans="1:3" x14ac:dyDescent="0.35">
      <c r="A297" s="47" t="s">
        <v>369</v>
      </c>
      <c r="B297" s="50">
        <v>0</v>
      </c>
      <c r="C297" s="50">
        <v>0</v>
      </c>
    </row>
    <row r="298" spans="1:3" x14ac:dyDescent="0.35">
      <c r="A298" s="47" t="s">
        <v>370</v>
      </c>
      <c r="B298" s="51">
        <v>11.72</v>
      </c>
      <c r="C298" s="51">
        <v>24.55</v>
      </c>
    </row>
    <row r="299" spans="1:3" x14ac:dyDescent="0.35">
      <c r="A299" s="45" t="s">
        <v>371</v>
      </c>
      <c r="B299" s="46"/>
      <c r="C299" s="46"/>
    </row>
    <row r="300" spans="1:3" x14ac:dyDescent="0.35">
      <c r="A300" s="47" t="s">
        <v>372</v>
      </c>
      <c r="B300" s="51">
        <v>5.4</v>
      </c>
      <c r="C300" s="51">
        <v>6.23</v>
      </c>
    </row>
    <row r="301" spans="1:3" x14ac:dyDescent="0.35">
      <c r="A301" s="47" t="s">
        <v>373</v>
      </c>
      <c r="B301" s="51">
        <v>5.4</v>
      </c>
      <c r="C301" s="51">
        <v>6.23</v>
      </c>
    </row>
    <row r="302" spans="1:3" x14ac:dyDescent="0.35">
      <c r="A302" s="45" t="s">
        <v>374</v>
      </c>
      <c r="B302" s="46"/>
      <c r="C302" s="46"/>
    </row>
    <row r="303" spans="1:3" x14ac:dyDescent="0.35">
      <c r="A303" s="47" t="s">
        <v>78</v>
      </c>
      <c r="B303" s="50">
        <v>17040</v>
      </c>
      <c r="C303" s="50">
        <v>29696</v>
      </c>
    </row>
    <row r="304" spans="1:3" x14ac:dyDescent="0.35">
      <c r="A304" s="47" t="s">
        <v>80</v>
      </c>
      <c r="B304" s="50">
        <v>18806.599999999999</v>
      </c>
      <c r="C304" s="50">
        <v>31693</v>
      </c>
    </row>
    <row r="305" spans="1:3" x14ac:dyDescent="0.35">
      <c r="A305" s="47" t="s">
        <v>376</v>
      </c>
      <c r="B305" s="50">
        <v>19016.2</v>
      </c>
      <c r="C305" s="50"/>
    </row>
    <row r="306" spans="1:3" x14ac:dyDescent="0.35">
      <c r="A306" s="45" t="s">
        <v>377</v>
      </c>
      <c r="B306" s="46"/>
      <c r="C306" s="46"/>
    </row>
    <row r="307" spans="1:3" x14ac:dyDescent="0.35">
      <c r="A307" s="47" t="s">
        <v>378</v>
      </c>
      <c r="B307" s="48">
        <v>1610.9</v>
      </c>
      <c r="C307" s="48">
        <v>1802</v>
      </c>
    </row>
    <row r="308" spans="1:3" x14ac:dyDescent="0.35">
      <c r="A308" s="49" t="s">
        <v>379</v>
      </c>
      <c r="B308" s="48">
        <v>1058</v>
      </c>
      <c r="C308" s="48">
        <v>1314</v>
      </c>
    </row>
    <row r="309" spans="1:3" x14ac:dyDescent="0.35">
      <c r="A309" s="49" t="s">
        <v>477</v>
      </c>
      <c r="B309" s="48">
        <v>552.9</v>
      </c>
      <c r="C309" s="48">
        <v>488</v>
      </c>
    </row>
    <row r="310" spans="1:3" x14ac:dyDescent="0.35">
      <c r="A310" s="49" t="s">
        <v>497</v>
      </c>
      <c r="B310" s="48">
        <v>552.9</v>
      </c>
      <c r="C310" s="48">
        <v>488</v>
      </c>
    </row>
    <row r="311" spans="1:3" x14ac:dyDescent="0.35">
      <c r="A311" s="45" t="s">
        <v>381</v>
      </c>
      <c r="B311" s="46"/>
      <c r="C311" s="46"/>
    </row>
    <row r="312" spans="1:3" x14ac:dyDescent="0.35">
      <c r="A312" s="47" t="s">
        <v>79</v>
      </c>
      <c r="B312" s="48">
        <v>1766.6</v>
      </c>
      <c r="C312" s="48">
        <v>1997</v>
      </c>
    </row>
    <row r="313" spans="1:3" x14ac:dyDescent="0.35">
      <c r="A313" s="49" t="s">
        <v>382</v>
      </c>
      <c r="B313" s="48">
        <v>1058</v>
      </c>
      <c r="C313" s="48">
        <v>1314</v>
      </c>
    </row>
    <row r="314" spans="1:3" x14ac:dyDescent="0.35">
      <c r="A314" s="49" t="s">
        <v>498</v>
      </c>
      <c r="B314" s="48">
        <v>552.9</v>
      </c>
      <c r="C314" s="48">
        <v>488</v>
      </c>
    </row>
    <row r="315" spans="1:3" x14ac:dyDescent="0.35">
      <c r="A315" s="45" t="s">
        <v>383</v>
      </c>
      <c r="B315" s="46"/>
      <c r="C315" s="46"/>
    </row>
    <row r="316" spans="1:3" x14ac:dyDescent="0.35">
      <c r="A316" s="47" t="s">
        <v>384</v>
      </c>
      <c r="B316" s="50">
        <v>10990.6</v>
      </c>
      <c r="C316" s="50">
        <v>13337</v>
      </c>
    </row>
    <row r="317" spans="1:3" x14ac:dyDescent="0.35">
      <c r="A317" s="49" t="s">
        <v>72</v>
      </c>
      <c r="B317" s="50">
        <v>10990.6</v>
      </c>
      <c r="C317" s="50">
        <v>13337</v>
      </c>
    </row>
    <row r="318" spans="1:3" x14ac:dyDescent="0.35">
      <c r="A318" s="45" t="s">
        <v>385</v>
      </c>
      <c r="B318" s="46"/>
      <c r="C318" s="46"/>
    </row>
    <row r="319" spans="1:3" x14ac:dyDescent="0.35">
      <c r="A319" s="47" t="s">
        <v>386</v>
      </c>
      <c r="B319" s="50"/>
      <c r="C319" s="50"/>
    </row>
    <row r="320" spans="1:3" x14ac:dyDescent="0.35">
      <c r="A320" s="49" t="s">
        <v>387</v>
      </c>
      <c r="B320" s="48">
        <v>510</v>
      </c>
      <c r="C320" s="48">
        <v>494.54</v>
      </c>
    </row>
    <row r="321" spans="1:3" x14ac:dyDescent="0.35">
      <c r="A321" s="49" t="s">
        <v>388</v>
      </c>
      <c r="B321" s="48">
        <v>645.6</v>
      </c>
      <c r="C321" s="48">
        <v>626</v>
      </c>
    </row>
    <row r="322" spans="1:3" x14ac:dyDescent="0.35">
      <c r="A322" s="49" t="s">
        <v>389</v>
      </c>
      <c r="B322" s="48">
        <v>135.6</v>
      </c>
      <c r="C322" s="48">
        <v>131.46</v>
      </c>
    </row>
    <row r="323" spans="1:3" x14ac:dyDescent="0.35">
      <c r="A323" s="45" t="s">
        <v>390</v>
      </c>
      <c r="B323" s="46"/>
      <c r="C323" s="46"/>
    </row>
    <row r="324" spans="1:3" x14ac:dyDescent="0.35">
      <c r="A324" s="47" t="s">
        <v>390</v>
      </c>
      <c r="B324" s="51">
        <v>18.8</v>
      </c>
      <c r="C324" s="51">
        <v>19.600000000000001</v>
      </c>
    </row>
    <row r="325" spans="1:3" x14ac:dyDescent="0.35">
      <c r="A325" s="49" t="s">
        <v>391</v>
      </c>
      <c r="B325" s="51">
        <v>17.399999999999999</v>
      </c>
      <c r="C325" s="51">
        <v>18.2</v>
      </c>
    </row>
    <row r="326" spans="1:3" x14ac:dyDescent="0.35">
      <c r="A326" s="49" t="s">
        <v>392</v>
      </c>
      <c r="B326" s="51">
        <v>1.2</v>
      </c>
      <c r="C326" s="51">
        <v>1.4</v>
      </c>
    </row>
    <row r="327" spans="1:3" x14ac:dyDescent="0.35">
      <c r="A327" s="49" t="s">
        <v>444</v>
      </c>
      <c r="B327" s="51">
        <v>0.2</v>
      </c>
      <c r="C327" s="50">
        <v>0</v>
      </c>
    </row>
    <row r="328" spans="1:3" x14ac:dyDescent="0.35">
      <c r="A328" s="45" t="s">
        <v>393</v>
      </c>
      <c r="B328" s="46"/>
      <c r="C328" s="46"/>
    </row>
    <row r="329" spans="1:3" x14ac:dyDescent="0.35">
      <c r="A329" s="47" t="s">
        <v>394</v>
      </c>
      <c r="B329" s="50">
        <v>14731</v>
      </c>
      <c r="C329" s="50">
        <v>24034</v>
      </c>
    </row>
    <row r="330" spans="1:3" x14ac:dyDescent="0.35">
      <c r="A330" s="47" t="s">
        <v>395</v>
      </c>
      <c r="B330" s="50">
        <v>14731</v>
      </c>
      <c r="C330" s="50">
        <v>24034</v>
      </c>
    </row>
    <row r="331" spans="1:3" x14ac:dyDescent="0.35">
      <c r="A331" s="47" t="s">
        <v>396</v>
      </c>
      <c r="B331" s="50">
        <v>14731</v>
      </c>
      <c r="C331" s="50">
        <v>24034</v>
      </c>
    </row>
    <row r="332" spans="1:3" x14ac:dyDescent="0.35">
      <c r="A332" s="47" t="s">
        <v>397</v>
      </c>
      <c r="B332" s="50">
        <v>17426.8</v>
      </c>
      <c r="C332" s="50">
        <v>30020</v>
      </c>
    </row>
    <row r="333" spans="1:3" x14ac:dyDescent="0.35">
      <c r="A333" s="47" t="s">
        <v>398</v>
      </c>
      <c r="B333" s="50">
        <v>19193.400000000001</v>
      </c>
      <c r="C333" s="50">
        <v>32017</v>
      </c>
    </row>
    <row r="334" spans="1:3" x14ac:dyDescent="0.35">
      <c r="A334" s="45" t="s">
        <v>82</v>
      </c>
      <c r="B334" s="46"/>
      <c r="C334" s="46"/>
    </row>
    <row r="335" spans="1:3" x14ac:dyDescent="0.35">
      <c r="A335" s="47" t="s">
        <v>405</v>
      </c>
      <c r="B335" s="48">
        <v>209.6</v>
      </c>
      <c r="C335" s="50"/>
    </row>
    <row r="336" spans="1:3" x14ac:dyDescent="0.35">
      <c r="A336" s="47" t="s">
        <v>582</v>
      </c>
      <c r="B336" s="48">
        <v>1440</v>
      </c>
      <c r="C336" s="48">
        <v>2900</v>
      </c>
    </row>
    <row r="337" spans="1:3" x14ac:dyDescent="0.35">
      <c r="A337" s="47" t="s">
        <v>406</v>
      </c>
      <c r="B337" s="48">
        <v>8418.2999999999993</v>
      </c>
      <c r="C337" s="50">
        <v>11052</v>
      </c>
    </row>
    <row r="338" spans="1:3" x14ac:dyDescent="0.35">
      <c r="A338" s="47" t="s">
        <v>407</v>
      </c>
      <c r="B338" s="48">
        <v>8418.2999999999993</v>
      </c>
      <c r="C338" s="50">
        <v>11052</v>
      </c>
    </row>
    <row r="339" spans="1:3" x14ac:dyDescent="0.35">
      <c r="A339" s="47" t="s">
        <v>408</v>
      </c>
      <c r="B339" s="48">
        <v>780.6</v>
      </c>
      <c r="C339" s="48">
        <v>895</v>
      </c>
    </row>
    <row r="340" spans="1:3" x14ac:dyDescent="0.35">
      <c r="A340" s="47" t="s">
        <v>280</v>
      </c>
      <c r="B340" s="50">
        <v>28002.7</v>
      </c>
      <c r="C340" s="50">
        <v>35483</v>
      </c>
    </row>
    <row r="341" spans="1:3" x14ac:dyDescent="0.35">
      <c r="A341" s="47" t="s">
        <v>70</v>
      </c>
      <c r="B341" s="48">
        <v>8593.7999999999993</v>
      </c>
      <c r="C341" s="50">
        <v>11094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26"/>
  <sheetViews>
    <sheetView workbookViewId="0"/>
  </sheetViews>
  <sheetFormatPr defaultRowHeight="14.5" x14ac:dyDescent="0.35"/>
  <cols>
    <col min="1" max="1" width="85.7265625" style="11" customWidth="1"/>
    <col min="2" max="3" width="15.7265625" style="11" customWidth="1"/>
    <col min="4" max="16384" width="8.7265625" style="11"/>
  </cols>
  <sheetData>
    <row r="1" spans="1:3" ht="6.65" customHeight="1" x14ac:dyDescent="0.35">
      <c r="A1" s="9" t="s">
        <v>94</v>
      </c>
      <c r="B1" s="10"/>
      <c r="C1" s="10"/>
    </row>
    <row r="2" spans="1:3" ht="6.65" customHeight="1" x14ac:dyDescent="0.35">
      <c r="A2" s="12" t="s">
        <v>95</v>
      </c>
      <c r="B2" s="13" t="s">
        <v>615</v>
      </c>
    </row>
    <row r="3" spans="1:3" x14ac:dyDescent="0.35">
      <c r="A3" s="12" t="s">
        <v>97</v>
      </c>
      <c r="B3" s="12" t="s">
        <v>98</v>
      </c>
    </row>
    <row r="4" spans="1:3" x14ac:dyDescent="0.35">
      <c r="A4" s="12" t="s">
        <v>99</v>
      </c>
      <c r="B4" s="12" t="s">
        <v>98</v>
      </c>
    </row>
    <row r="5" spans="1:3" x14ac:dyDescent="0.35">
      <c r="A5" s="12" t="s">
        <v>100</v>
      </c>
      <c r="B5" s="12" t="s">
        <v>608</v>
      </c>
    </row>
    <row r="6" spans="1:3" x14ac:dyDescent="0.35">
      <c r="A6" s="12" t="s">
        <v>101</v>
      </c>
      <c r="B6" s="12" t="s">
        <v>102</v>
      </c>
    </row>
    <row r="7" spans="1:3" x14ac:dyDescent="0.35">
      <c r="A7" s="12" t="s">
        <v>103</v>
      </c>
      <c r="B7" s="12" t="s">
        <v>104</v>
      </c>
    </row>
    <row r="8" spans="1:3" x14ac:dyDescent="0.35">
      <c r="A8" s="12" t="s">
        <v>105</v>
      </c>
      <c r="B8" s="12" t="s">
        <v>106</v>
      </c>
    </row>
    <row r="9" spans="1:3" x14ac:dyDescent="0.35">
      <c r="A9" s="12" t="s">
        <v>107</v>
      </c>
      <c r="B9" s="12" t="s">
        <v>108</v>
      </c>
    </row>
    <row r="10" spans="1:3" x14ac:dyDescent="0.35">
      <c r="A10" s="12" t="s">
        <v>109</v>
      </c>
      <c r="B10" s="14">
        <v>46295.108380844897</v>
      </c>
    </row>
    <row r="11" spans="1:3" x14ac:dyDescent="0.35">
      <c r="A11" s="15" t="s">
        <v>110</v>
      </c>
      <c r="B11" s="16" t="s">
        <v>111</v>
      </c>
      <c r="C11" s="16" t="s">
        <v>112</v>
      </c>
    </row>
    <row r="12" spans="1:3" ht="6.65" customHeight="1" x14ac:dyDescent="0.35">
      <c r="A12" s="17" t="s">
        <v>113</v>
      </c>
      <c r="B12" s="18">
        <v>45655</v>
      </c>
      <c r="C12" s="18">
        <v>46019</v>
      </c>
    </row>
    <row r="13" spans="1:3" ht="6.65" customHeight="1" x14ac:dyDescent="0.35">
      <c r="A13" s="17" t="s">
        <v>114</v>
      </c>
      <c r="B13" s="18" t="s">
        <v>115</v>
      </c>
      <c r="C13" s="18" t="s">
        <v>115</v>
      </c>
    </row>
    <row r="14" spans="1:3" x14ac:dyDescent="0.35">
      <c r="A14" s="19" t="s">
        <v>116</v>
      </c>
      <c r="B14" s="15"/>
      <c r="C14" s="15"/>
    </row>
    <row r="15" spans="1:3" x14ac:dyDescent="0.35">
      <c r="A15" s="19" t="s">
        <v>117</v>
      </c>
      <c r="B15" s="20" t="s">
        <v>616</v>
      </c>
      <c r="C15" s="20" t="s">
        <v>617</v>
      </c>
    </row>
    <row r="16" spans="1:3" ht="6.65" customHeight="1" x14ac:dyDescent="0.35">
      <c r="A16" s="21" t="s">
        <v>120</v>
      </c>
      <c r="B16" s="22"/>
      <c r="C16" s="22"/>
    </row>
    <row r="17" spans="1:3" ht="6.65" customHeight="1" x14ac:dyDescent="0.35">
      <c r="A17" s="23" t="s">
        <v>121</v>
      </c>
      <c r="B17" s="24">
        <v>24522</v>
      </c>
      <c r="C17" s="24">
        <v>20102</v>
      </c>
    </row>
    <row r="18" spans="1:3" ht="6.65" customHeight="1" x14ac:dyDescent="0.35">
      <c r="A18" s="25" t="s">
        <v>12</v>
      </c>
      <c r="B18" s="26">
        <v>9041</v>
      </c>
      <c r="C18" s="26">
        <v>9292</v>
      </c>
    </row>
    <row r="19" spans="1:3" ht="6.65" customHeight="1" x14ac:dyDescent="0.35">
      <c r="A19" s="25" t="s">
        <v>14</v>
      </c>
      <c r="B19" s="24">
        <v>15481</v>
      </c>
      <c r="C19" s="24">
        <v>10810</v>
      </c>
    </row>
    <row r="20" spans="1:3" ht="6.65" customHeight="1" x14ac:dyDescent="0.35">
      <c r="A20" s="23" t="s">
        <v>122</v>
      </c>
      <c r="B20" s="24">
        <v>14842</v>
      </c>
      <c r="C20" s="24">
        <v>17178</v>
      </c>
    </row>
    <row r="21" spans="1:3" ht="6.65" customHeight="1" x14ac:dyDescent="0.35">
      <c r="A21" s="25" t="s">
        <v>16</v>
      </c>
      <c r="B21" s="24">
        <v>14842</v>
      </c>
      <c r="C21" s="24">
        <v>17178</v>
      </c>
    </row>
    <row r="22" spans="1:3" ht="6.65" customHeight="1" x14ac:dyDescent="0.35">
      <c r="A22" s="25" t="s">
        <v>123</v>
      </c>
      <c r="B22" s="24">
        <v>15009</v>
      </c>
      <c r="C22" s="24">
        <v>17361</v>
      </c>
    </row>
    <row r="23" spans="1:3" ht="6.65" customHeight="1" x14ac:dyDescent="0.35">
      <c r="A23" s="25" t="s">
        <v>124</v>
      </c>
      <c r="B23" s="26">
        <v>167</v>
      </c>
      <c r="C23" s="26">
        <v>183</v>
      </c>
    </row>
    <row r="24" spans="1:3" ht="6.65" customHeight="1" x14ac:dyDescent="0.35">
      <c r="A24" s="23" t="s">
        <v>18</v>
      </c>
      <c r="B24" s="24">
        <v>12444</v>
      </c>
      <c r="C24" s="24">
        <v>14191</v>
      </c>
    </row>
    <row r="25" spans="1:3" ht="6.65" customHeight="1" x14ac:dyDescent="0.35">
      <c r="A25" s="25" t="s">
        <v>125</v>
      </c>
      <c r="B25" s="26">
        <v>2337</v>
      </c>
      <c r="C25" s="26">
        <v>2530</v>
      </c>
    </row>
    <row r="26" spans="1:3" ht="6.65" customHeight="1" x14ac:dyDescent="0.35">
      <c r="A26" s="25" t="s">
        <v>499</v>
      </c>
      <c r="B26" s="26">
        <v>2815</v>
      </c>
      <c r="C26" s="26">
        <v>3828</v>
      </c>
    </row>
    <row r="27" spans="1:3" ht="6.65" customHeight="1" x14ac:dyDescent="0.35">
      <c r="A27" s="25" t="s">
        <v>126</v>
      </c>
      <c r="B27" s="26">
        <v>7292</v>
      </c>
      <c r="C27" s="26">
        <v>7833</v>
      </c>
    </row>
    <row r="28" spans="1:3" ht="6.65" customHeight="1" x14ac:dyDescent="0.35">
      <c r="A28" s="23" t="s">
        <v>127</v>
      </c>
      <c r="B28" s="26">
        <v>4085</v>
      </c>
      <c r="C28" s="26">
        <v>4153</v>
      </c>
    </row>
    <row r="29" spans="1:3" ht="6.65" customHeight="1" x14ac:dyDescent="0.35">
      <c r="A29" s="27" t="s">
        <v>22</v>
      </c>
      <c r="B29" s="28">
        <v>55893</v>
      </c>
      <c r="C29" s="28">
        <v>55624</v>
      </c>
    </row>
    <row r="30" spans="1:3" ht="6.65" customHeight="1" x14ac:dyDescent="0.35">
      <c r="A30" s="21" t="s">
        <v>128</v>
      </c>
      <c r="B30" s="22"/>
      <c r="C30" s="22"/>
    </row>
    <row r="31" spans="1:3" ht="6.65" customHeight="1" x14ac:dyDescent="0.35">
      <c r="A31" s="23" t="s">
        <v>25</v>
      </c>
      <c r="B31" s="26">
        <v>451</v>
      </c>
      <c r="C31" s="26">
        <v>665</v>
      </c>
    </row>
    <row r="32" spans="1:3" ht="6.65" customHeight="1" x14ac:dyDescent="0.35">
      <c r="A32" s="25" t="s">
        <v>129</v>
      </c>
      <c r="B32" s="26">
        <v>451</v>
      </c>
      <c r="C32" s="26">
        <v>665</v>
      </c>
    </row>
    <row r="33" spans="1:3" ht="6.65" customHeight="1" x14ac:dyDescent="0.35">
      <c r="A33" s="23" t="s">
        <v>27</v>
      </c>
      <c r="B33" s="24">
        <v>21618</v>
      </c>
      <c r="C33" s="24">
        <v>24469</v>
      </c>
    </row>
    <row r="34" spans="1:3" ht="6.65" customHeight="1" x14ac:dyDescent="0.35">
      <c r="A34" s="25" t="s">
        <v>133</v>
      </c>
      <c r="B34" s="24">
        <v>21618</v>
      </c>
      <c r="C34" s="24">
        <v>24469</v>
      </c>
    </row>
    <row r="35" spans="1:3" ht="6.65" customHeight="1" x14ac:dyDescent="0.35">
      <c r="A35" s="25" t="s">
        <v>134</v>
      </c>
      <c r="B35" s="24">
        <v>49868</v>
      </c>
      <c r="C35" s="24">
        <v>55664</v>
      </c>
    </row>
    <row r="36" spans="1:3" ht="6.65" customHeight="1" x14ac:dyDescent="0.35">
      <c r="A36" s="25" t="s">
        <v>135</v>
      </c>
      <c r="B36" s="24">
        <v>49868</v>
      </c>
      <c r="C36" s="24">
        <v>55664</v>
      </c>
    </row>
    <row r="37" spans="1:3" ht="6.65" customHeight="1" x14ac:dyDescent="0.35">
      <c r="A37" s="25" t="s">
        <v>458</v>
      </c>
      <c r="B37" s="24">
        <v>13035</v>
      </c>
      <c r="C37" s="24">
        <v>14130</v>
      </c>
    </row>
    <row r="38" spans="1:3" ht="6.65" customHeight="1" x14ac:dyDescent="0.35">
      <c r="A38" s="25" t="s">
        <v>459</v>
      </c>
      <c r="B38" s="26">
        <v>718</v>
      </c>
      <c r="C38" s="26">
        <v>701</v>
      </c>
    </row>
    <row r="39" spans="1:3" ht="6.65" customHeight="1" x14ac:dyDescent="0.35">
      <c r="A39" s="25" t="s">
        <v>460</v>
      </c>
      <c r="B39" s="24">
        <v>12317</v>
      </c>
      <c r="C39" s="24">
        <v>13429</v>
      </c>
    </row>
    <row r="40" spans="1:3" ht="6.65" customHeight="1" x14ac:dyDescent="0.35">
      <c r="A40" s="25" t="s">
        <v>447</v>
      </c>
      <c r="B40" s="24">
        <v>29444</v>
      </c>
      <c r="C40" s="24">
        <v>32873</v>
      </c>
    </row>
    <row r="41" spans="1:3" ht="6.65" customHeight="1" x14ac:dyDescent="0.35">
      <c r="A41" s="25" t="s">
        <v>462</v>
      </c>
      <c r="B41" s="26">
        <v>6289</v>
      </c>
      <c r="C41" s="26">
        <v>7361</v>
      </c>
    </row>
    <row r="42" spans="1:3" ht="6.65" customHeight="1" x14ac:dyDescent="0.35">
      <c r="A42" s="25" t="s">
        <v>136</v>
      </c>
      <c r="B42" s="26">
        <v>1100</v>
      </c>
      <c r="C42" s="26">
        <v>1300</v>
      </c>
    </row>
    <row r="43" spans="1:3" ht="6.65" customHeight="1" x14ac:dyDescent="0.35">
      <c r="A43" s="25" t="s">
        <v>137</v>
      </c>
      <c r="B43" s="26">
        <v>1100</v>
      </c>
      <c r="C43" s="26">
        <v>1300</v>
      </c>
    </row>
    <row r="44" spans="1:3" ht="6.65" customHeight="1" x14ac:dyDescent="0.35">
      <c r="A44" s="25" t="s">
        <v>139</v>
      </c>
      <c r="B44" s="24">
        <v>28250</v>
      </c>
      <c r="C44" s="24">
        <v>31195</v>
      </c>
    </row>
    <row r="45" spans="1:3" ht="6.65" customHeight="1" x14ac:dyDescent="0.35">
      <c r="A45" s="25" t="s">
        <v>140</v>
      </c>
      <c r="B45" s="24">
        <v>28250</v>
      </c>
      <c r="C45" s="24">
        <v>31195</v>
      </c>
    </row>
    <row r="46" spans="1:3" ht="6.65" customHeight="1" x14ac:dyDescent="0.35">
      <c r="A46" s="23" t="s">
        <v>141</v>
      </c>
      <c r="B46" s="24">
        <v>20324</v>
      </c>
      <c r="C46" s="24">
        <v>19277</v>
      </c>
    </row>
    <row r="47" spans="1:3" ht="6.65" customHeight="1" x14ac:dyDescent="0.35">
      <c r="A47" s="25" t="s">
        <v>419</v>
      </c>
      <c r="B47" s="24">
        <v>10461</v>
      </c>
      <c r="C47" s="26">
        <v>6874</v>
      </c>
    </row>
    <row r="48" spans="1:3" ht="6.65" customHeight="1" x14ac:dyDescent="0.35">
      <c r="A48" s="25" t="s">
        <v>514</v>
      </c>
      <c r="B48" s="26">
        <v>6046</v>
      </c>
      <c r="C48" s="26">
        <v>7300</v>
      </c>
    </row>
    <row r="49" spans="1:3" ht="6.65" customHeight="1" x14ac:dyDescent="0.35">
      <c r="A49" s="25" t="s">
        <v>31</v>
      </c>
      <c r="B49" s="26">
        <v>3817</v>
      </c>
      <c r="C49" s="26">
        <v>5103</v>
      </c>
    </row>
    <row r="50" spans="1:3" ht="6.65" customHeight="1" x14ac:dyDescent="0.35">
      <c r="A50" s="23" t="s">
        <v>29</v>
      </c>
      <c r="B50" s="24">
        <v>81818</v>
      </c>
      <c r="C50" s="24">
        <v>99175</v>
      </c>
    </row>
    <row r="51" spans="1:3" ht="6.65" customHeight="1" x14ac:dyDescent="0.35">
      <c r="A51" s="25" t="s">
        <v>421</v>
      </c>
      <c r="B51" s="24">
        <v>44200</v>
      </c>
      <c r="C51" s="24">
        <v>48772</v>
      </c>
    </row>
    <row r="52" spans="1:3" ht="6.65" customHeight="1" x14ac:dyDescent="0.35">
      <c r="A52" s="25" t="s">
        <v>464</v>
      </c>
      <c r="B52" s="24">
        <v>37618</v>
      </c>
      <c r="C52" s="24">
        <v>50403</v>
      </c>
    </row>
    <row r="53" spans="1:3" ht="6.65" customHeight="1" x14ac:dyDescent="0.35">
      <c r="A53" s="25" t="s">
        <v>544</v>
      </c>
      <c r="B53" s="24">
        <v>12281</v>
      </c>
      <c r="C53" s="24">
        <v>15619</v>
      </c>
    </row>
    <row r="54" spans="1:3" ht="6.65" customHeight="1" x14ac:dyDescent="0.35">
      <c r="A54" s="25" t="s">
        <v>490</v>
      </c>
      <c r="B54" s="24">
        <v>18571</v>
      </c>
      <c r="C54" s="24">
        <v>28421</v>
      </c>
    </row>
    <row r="55" spans="1:3" ht="6.65" customHeight="1" x14ac:dyDescent="0.35">
      <c r="A55" s="25" t="s">
        <v>491</v>
      </c>
      <c r="B55" s="26">
        <v>6766</v>
      </c>
      <c r="C55" s="26">
        <v>6363</v>
      </c>
    </row>
    <row r="56" spans="1:3" ht="6.65" customHeight="1" x14ac:dyDescent="0.35">
      <c r="A56" s="27" t="s">
        <v>33</v>
      </c>
      <c r="B56" s="28">
        <v>124211</v>
      </c>
      <c r="C56" s="28">
        <v>143586</v>
      </c>
    </row>
    <row r="57" spans="1:3" ht="6.65" customHeight="1" x14ac:dyDescent="0.35">
      <c r="A57" s="21" t="s">
        <v>35</v>
      </c>
      <c r="B57" s="22"/>
      <c r="C57" s="22"/>
    </row>
    <row r="58" spans="1:3" ht="6.65" customHeight="1" x14ac:dyDescent="0.35">
      <c r="A58" s="27" t="s">
        <v>35</v>
      </c>
      <c r="B58" s="28">
        <v>180104</v>
      </c>
      <c r="C58" s="28">
        <v>199210</v>
      </c>
    </row>
    <row r="59" spans="1:3" ht="6.65" customHeight="1" x14ac:dyDescent="0.35">
      <c r="A59" s="21" t="s">
        <v>143</v>
      </c>
      <c r="B59" s="22"/>
      <c r="C59" s="22"/>
    </row>
    <row r="60" spans="1:3" ht="6.65" customHeight="1" x14ac:dyDescent="0.35">
      <c r="A60" s="23" t="s">
        <v>144</v>
      </c>
      <c r="B60" s="24">
        <v>40566</v>
      </c>
      <c r="C60" s="24">
        <v>44243</v>
      </c>
    </row>
    <row r="61" spans="1:3" ht="6.65" customHeight="1" x14ac:dyDescent="0.35">
      <c r="A61" s="25" t="s">
        <v>37</v>
      </c>
      <c r="B61" s="24">
        <v>10311</v>
      </c>
      <c r="C61" s="24">
        <v>11991</v>
      </c>
    </row>
    <row r="62" spans="1:3" ht="6.65" customHeight="1" x14ac:dyDescent="0.35">
      <c r="A62" s="25" t="s">
        <v>145</v>
      </c>
      <c r="B62" s="24">
        <v>30255</v>
      </c>
      <c r="C62" s="24">
        <v>32252</v>
      </c>
    </row>
    <row r="63" spans="1:3" ht="6.65" customHeight="1" x14ac:dyDescent="0.35">
      <c r="A63" s="23" t="s">
        <v>39</v>
      </c>
      <c r="B63" s="26">
        <v>5983</v>
      </c>
      <c r="C63" s="26">
        <v>8495</v>
      </c>
    </row>
    <row r="64" spans="1:3" ht="6.65" customHeight="1" x14ac:dyDescent="0.35">
      <c r="A64" s="25" t="s">
        <v>422</v>
      </c>
      <c r="B64" s="26">
        <v>4234</v>
      </c>
      <c r="C64" s="26">
        <v>6495</v>
      </c>
    </row>
    <row r="65" spans="1:3" ht="6.65" customHeight="1" x14ac:dyDescent="0.35">
      <c r="A65" s="25" t="s">
        <v>146</v>
      </c>
      <c r="B65" s="26">
        <v>1749</v>
      </c>
      <c r="C65" s="26">
        <v>2000</v>
      </c>
    </row>
    <row r="66" spans="1:3" ht="6.65" customHeight="1" x14ac:dyDescent="0.35">
      <c r="A66" s="25" t="s">
        <v>147</v>
      </c>
      <c r="B66" s="26">
        <v>1749</v>
      </c>
      <c r="C66" s="26">
        <v>2000</v>
      </c>
    </row>
    <row r="67" spans="1:3" ht="6.65" customHeight="1" x14ac:dyDescent="0.35">
      <c r="A67" s="23" t="s">
        <v>149</v>
      </c>
      <c r="B67" s="26">
        <v>3772</v>
      </c>
      <c r="C67" s="26">
        <v>1388</v>
      </c>
    </row>
    <row r="68" spans="1:3" ht="6.65" customHeight="1" x14ac:dyDescent="0.35">
      <c r="A68" s="27" t="s">
        <v>43</v>
      </c>
      <c r="B68" s="28">
        <v>50321</v>
      </c>
      <c r="C68" s="28">
        <v>54126</v>
      </c>
    </row>
    <row r="69" spans="1:3" ht="6.65" customHeight="1" x14ac:dyDescent="0.35">
      <c r="A69" s="21" t="s">
        <v>151</v>
      </c>
      <c r="B69" s="22"/>
      <c r="C69" s="22"/>
    </row>
    <row r="70" spans="1:3" ht="6.65" customHeight="1" x14ac:dyDescent="0.35">
      <c r="A70" s="23" t="s">
        <v>45</v>
      </c>
      <c r="B70" s="24">
        <v>30651</v>
      </c>
      <c r="C70" s="24">
        <v>39438</v>
      </c>
    </row>
    <row r="71" spans="1:3" ht="6.65" customHeight="1" x14ac:dyDescent="0.35">
      <c r="A71" s="25" t="s">
        <v>152</v>
      </c>
      <c r="B71" s="24">
        <v>30651</v>
      </c>
      <c r="C71" s="24">
        <v>39438</v>
      </c>
    </row>
    <row r="72" spans="1:3" ht="6.65" customHeight="1" x14ac:dyDescent="0.35">
      <c r="A72" s="25" t="s">
        <v>153</v>
      </c>
      <c r="B72" s="24">
        <v>30651</v>
      </c>
      <c r="C72" s="24">
        <v>39438</v>
      </c>
    </row>
    <row r="73" spans="1:3" ht="6.65" customHeight="1" x14ac:dyDescent="0.35">
      <c r="A73" s="23" t="s">
        <v>155</v>
      </c>
      <c r="B73" s="26">
        <v>2448</v>
      </c>
      <c r="C73" s="26">
        <v>6791</v>
      </c>
    </row>
    <row r="74" spans="1:3" ht="6.65" customHeight="1" x14ac:dyDescent="0.35">
      <c r="A74" s="25" t="s">
        <v>156</v>
      </c>
      <c r="B74" s="26">
        <v>2448</v>
      </c>
      <c r="C74" s="26">
        <v>6791</v>
      </c>
    </row>
    <row r="75" spans="1:3" ht="6.65" customHeight="1" x14ac:dyDescent="0.35">
      <c r="A75" s="23" t="s">
        <v>158</v>
      </c>
      <c r="B75" s="24">
        <v>25194</v>
      </c>
      <c r="C75" s="24">
        <v>17311</v>
      </c>
    </row>
    <row r="76" spans="1:3" ht="6.65" customHeight="1" x14ac:dyDescent="0.35">
      <c r="A76" s="25" t="s">
        <v>159</v>
      </c>
      <c r="B76" s="26">
        <v>7255</v>
      </c>
      <c r="C76" s="26">
        <v>6957</v>
      </c>
    </row>
    <row r="77" spans="1:3" ht="6.65" customHeight="1" x14ac:dyDescent="0.35">
      <c r="A77" s="25" t="s">
        <v>160</v>
      </c>
      <c r="B77" s="26">
        <v>7255</v>
      </c>
      <c r="C77" s="26">
        <v>6957</v>
      </c>
    </row>
    <row r="78" spans="1:3" ht="6.65" customHeight="1" x14ac:dyDescent="0.35">
      <c r="A78" s="25" t="s">
        <v>47</v>
      </c>
      <c r="B78" s="24">
        <v>17939</v>
      </c>
      <c r="C78" s="24">
        <v>10354</v>
      </c>
    </row>
    <row r="79" spans="1:3" ht="6.65" customHeight="1" x14ac:dyDescent="0.35">
      <c r="A79" s="23" t="s">
        <v>49</v>
      </c>
      <c r="B79" s="24">
        <v>58293</v>
      </c>
      <c r="C79" s="24">
        <v>63540</v>
      </c>
    </row>
    <row r="80" spans="1:3" ht="6.65" customHeight="1" x14ac:dyDescent="0.35">
      <c r="A80" s="21" t="s">
        <v>51</v>
      </c>
      <c r="B80" s="22"/>
      <c r="C80" s="22"/>
    </row>
    <row r="81" spans="1:3" ht="6.65" customHeight="1" x14ac:dyDescent="0.35">
      <c r="A81" s="27" t="s">
        <v>51</v>
      </c>
      <c r="B81" s="28">
        <v>108614</v>
      </c>
      <c r="C81" s="28">
        <v>117666</v>
      </c>
    </row>
    <row r="82" spans="1:3" ht="6.65" customHeight="1" x14ac:dyDescent="0.35">
      <c r="A82" s="21" t="s">
        <v>162</v>
      </c>
      <c r="B82" s="22"/>
      <c r="C82" s="22"/>
    </row>
    <row r="83" spans="1:3" ht="6.65" customHeight="1" x14ac:dyDescent="0.35">
      <c r="A83" s="23" t="s">
        <v>163</v>
      </c>
      <c r="B83" s="24">
        <v>71490</v>
      </c>
      <c r="C83" s="24">
        <v>81544</v>
      </c>
    </row>
    <row r="84" spans="1:3" ht="6.65" customHeight="1" x14ac:dyDescent="0.35">
      <c r="A84" s="25" t="s">
        <v>424</v>
      </c>
      <c r="B84" s="24">
        <v>0</v>
      </c>
      <c r="C84" s="24">
        <v>0</v>
      </c>
    </row>
    <row r="85" spans="1:3" ht="6.65" customHeight="1" x14ac:dyDescent="0.35">
      <c r="A85" s="25" t="s">
        <v>425</v>
      </c>
      <c r="B85" s="24">
        <v>0</v>
      </c>
      <c r="C85" s="24">
        <v>0</v>
      </c>
    </row>
    <row r="86" spans="1:3" ht="6.65" customHeight="1" x14ac:dyDescent="0.35">
      <c r="A86" s="25" t="s">
        <v>426</v>
      </c>
      <c r="B86" s="24">
        <v>0</v>
      </c>
      <c r="C86" s="24">
        <v>0</v>
      </c>
    </row>
    <row r="87" spans="1:3" ht="6.65" customHeight="1" x14ac:dyDescent="0.35">
      <c r="A87" s="25" t="s">
        <v>164</v>
      </c>
      <c r="B87" s="24">
        <v>71490</v>
      </c>
      <c r="C87" s="24">
        <v>81544</v>
      </c>
    </row>
    <row r="88" spans="1:3" ht="6.65" customHeight="1" x14ac:dyDescent="0.35">
      <c r="A88" s="25" t="s">
        <v>165</v>
      </c>
      <c r="B88" s="24">
        <v>75680</v>
      </c>
      <c r="C88" s="24">
        <v>75624</v>
      </c>
    </row>
    <row r="89" spans="1:3" ht="6.65" customHeight="1" x14ac:dyDescent="0.35">
      <c r="A89" s="25" t="s">
        <v>166</v>
      </c>
      <c r="B89" s="26">
        <v>3120</v>
      </c>
      <c r="C89" s="26">
        <v>3120</v>
      </c>
    </row>
    <row r="90" spans="1:3" ht="6.65" customHeight="1" x14ac:dyDescent="0.35">
      <c r="A90" s="25" t="s">
        <v>167</v>
      </c>
      <c r="B90" s="26">
        <v>3120</v>
      </c>
      <c r="C90" s="26">
        <v>3120</v>
      </c>
    </row>
    <row r="91" spans="1:3" ht="6.65" customHeight="1" x14ac:dyDescent="0.35">
      <c r="A91" s="25" t="s">
        <v>169</v>
      </c>
      <c r="B91" s="24">
        <v>144050</v>
      </c>
      <c r="C91" s="24">
        <v>154048</v>
      </c>
    </row>
    <row r="92" spans="1:3" ht="6.65" customHeight="1" x14ac:dyDescent="0.35">
      <c r="A92" s="25" t="s">
        <v>170</v>
      </c>
      <c r="B92" s="24">
        <v>155791</v>
      </c>
      <c r="C92" s="24">
        <v>168978</v>
      </c>
    </row>
    <row r="93" spans="1:3" ht="6.65" customHeight="1" x14ac:dyDescent="0.35">
      <c r="A93" s="25" t="s">
        <v>171</v>
      </c>
      <c r="B93" s="29">
        <v>-11741</v>
      </c>
      <c r="C93" s="29">
        <v>-14930</v>
      </c>
    </row>
    <row r="94" spans="1:3" ht="6.65" customHeight="1" x14ac:dyDescent="0.35">
      <c r="A94" s="25" t="s">
        <v>172</v>
      </c>
      <c r="B94" s="30">
        <v>1</v>
      </c>
      <c r="C94" s="24">
        <v>0</v>
      </c>
    </row>
    <row r="95" spans="1:3" ht="6.65" customHeight="1" x14ac:dyDescent="0.35">
      <c r="A95" s="25" t="s">
        <v>173</v>
      </c>
      <c r="B95" s="31">
        <v>-1750</v>
      </c>
      <c r="C95" s="31">
        <v>-290</v>
      </c>
    </row>
    <row r="96" spans="1:3" ht="6.65" customHeight="1" x14ac:dyDescent="0.35">
      <c r="A96" s="25" t="s">
        <v>174</v>
      </c>
      <c r="B96" s="31">
        <v>-8441</v>
      </c>
      <c r="C96" s="29">
        <v>-13947</v>
      </c>
    </row>
    <row r="97" spans="1:3" ht="6.65" customHeight="1" x14ac:dyDescent="0.35">
      <c r="A97" s="25" t="s">
        <v>175</v>
      </c>
      <c r="B97" s="31">
        <v>-1551</v>
      </c>
      <c r="C97" s="31">
        <v>-693</v>
      </c>
    </row>
    <row r="98" spans="1:3" ht="6.65" customHeight="1" x14ac:dyDescent="0.35">
      <c r="A98" s="25" t="s">
        <v>53</v>
      </c>
      <c r="B98" s="24">
        <v>71490</v>
      </c>
      <c r="C98" s="24">
        <v>81544</v>
      </c>
    </row>
    <row r="99" spans="1:3" ht="6.65" customHeight="1" x14ac:dyDescent="0.35">
      <c r="A99" s="21" t="s">
        <v>176</v>
      </c>
      <c r="B99" s="22"/>
      <c r="C99" s="22"/>
    </row>
    <row r="100" spans="1:3" ht="6.65" customHeight="1" x14ac:dyDescent="0.35">
      <c r="A100" s="27" t="s">
        <v>57</v>
      </c>
      <c r="B100" s="28">
        <v>71490</v>
      </c>
      <c r="C100" s="28">
        <v>81544</v>
      </c>
    </row>
    <row r="101" spans="1:3" ht="6.65" customHeight="1" x14ac:dyDescent="0.35">
      <c r="A101" s="21" t="s">
        <v>177</v>
      </c>
      <c r="B101" s="22"/>
      <c r="C101" s="22"/>
    </row>
    <row r="102" spans="1:3" ht="6.65" customHeight="1" x14ac:dyDescent="0.35">
      <c r="A102" s="27" t="s">
        <v>60</v>
      </c>
      <c r="B102" s="28">
        <v>180104</v>
      </c>
      <c r="C102" s="28">
        <v>199210</v>
      </c>
    </row>
    <row r="103" spans="1:3" ht="6.65" customHeight="1" x14ac:dyDescent="0.35">
      <c r="A103" s="21" t="s">
        <v>178</v>
      </c>
      <c r="B103" s="22"/>
      <c r="C103" s="22"/>
    </row>
    <row r="104" spans="1:3" ht="6.65" customHeight="1" x14ac:dyDescent="0.35">
      <c r="A104" s="23" t="s">
        <v>179</v>
      </c>
      <c r="B104" s="26">
        <v>3119.84</v>
      </c>
      <c r="C104" s="26">
        <v>3119.84</v>
      </c>
    </row>
    <row r="105" spans="1:3" ht="6.65" customHeight="1" x14ac:dyDescent="0.35">
      <c r="A105" s="25" t="s">
        <v>180</v>
      </c>
      <c r="B105" s="26">
        <v>2406.92</v>
      </c>
      <c r="C105" s="26">
        <v>2407.94</v>
      </c>
    </row>
    <row r="106" spans="1:3" ht="6.65" customHeight="1" x14ac:dyDescent="0.35">
      <c r="A106" s="25" t="s">
        <v>181</v>
      </c>
      <c r="B106" s="26">
        <v>712.92</v>
      </c>
      <c r="C106" s="26">
        <v>711.9</v>
      </c>
    </row>
    <row r="107" spans="1:3" ht="6.65" customHeight="1" x14ac:dyDescent="0.35">
      <c r="A107" s="23" t="s">
        <v>182</v>
      </c>
      <c r="B107" s="26">
        <v>4320</v>
      </c>
      <c r="C107" s="26">
        <v>4320</v>
      </c>
    </row>
    <row r="108" spans="1:3" ht="6.65" customHeight="1" x14ac:dyDescent="0.35">
      <c r="A108" s="23" t="s">
        <v>183</v>
      </c>
      <c r="B108" s="26">
        <v>3119.84</v>
      </c>
      <c r="C108" s="26">
        <v>3119.84</v>
      </c>
    </row>
    <row r="109" spans="1:3" ht="6.65" customHeight="1" x14ac:dyDescent="0.35">
      <c r="A109" s="25" t="s">
        <v>184</v>
      </c>
      <c r="B109" s="26">
        <v>2406.92</v>
      </c>
      <c r="C109" s="26">
        <v>2407.94</v>
      </c>
    </row>
    <row r="110" spans="1:3" ht="6.65" customHeight="1" x14ac:dyDescent="0.35">
      <c r="A110" s="25" t="s">
        <v>185</v>
      </c>
      <c r="B110" s="26">
        <v>712.92</v>
      </c>
      <c r="C110" s="26">
        <v>711.9</v>
      </c>
    </row>
    <row r="111" spans="1:3" ht="6.65" customHeight="1" x14ac:dyDescent="0.35">
      <c r="A111" s="21" t="s">
        <v>186</v>
      </c>
      <c r="B111" s="22"/>
      <c r="C111" s="22"/>
    </row>
    <row r="112" spans="1:3" ht="6.65" customHeight="1" x14ac:dyDescent="0.35">
      <c r="A112" s="23" t="s">
        <v>187</v>
      </c>
      <c r="B112" s="30">
        <v>1</v>
      </c>
      <c r="C112" s="30">
        <v>1</v>
      </c>
    </row>
    <row r="113" spans="1:3" ht="6.65" customHeight="1" x14ac:dyDescent="0.35">
      <c r="A113" s="21" t="s">
        <v>188</v>
      </c>
      <c r="B113" s="22"/>
      <c r="C113" s="22"/>
    </row>
    <row r="114" spans="1:3" ht="6.65" customHeight="1" x14ac:dyDescent="0.35">
      <c r="A114" s="23" t="s">
        <v>189</v>
      </c>
      <c r="B114" s="26">
        <v>1100</v>
      </c>
      <c r="C114" s="26">
        <v>1300</v>
      </c>
    </row>
    <row r="115" spans="1:3" ht="6.65" customHeight="1" x14ac:dyDescent="0.35">
      <c r="A115" s="25" t="s">
        <v>190</v>
      </c>
      <c r="B115" s="26">
        <v>1100</v>
      </c>
      <c r="C115" s="26">
        <v>1300</v>
      </c>
    </row>
    <row r="116" spans="1:3" ht="6.65" customHeight="1" x14ac:dyDescent="0.35">
      <c r="A116" s="23" t="s">
        <v>192</v>
      </c>
      <c r="B116" s="24">
        <v>20518</v>
      </c>
      <c r="C116" s="24">
        <v>23169</v>
      </c>
    </row>
    <row r="117" spans="1:3" ht="6.65" customHeight="1" x14ac:dyDescent="0.35">
      <c r="A117" s="21" t="s">
        <v>193</v>
      </c>
      <c r="B117" s="22"/>
      <c r="C117" s="22"/>
    </row>
    <row r="118" spans="1:3" ht="6.65" customHeight="1" x14ac:dyDescent="0.35">
      <c r="A118" s="23" t="s">
        <v>194</v>
      </c>
      <c r="B118" s="26">
        <v>1200</v>
      </c>
      <c r="C118" s="26">
        <v>1400</v>
      </c>
    </row>
    <row r="119" spans="1:3" ht="6.65" customHeight="1" x14ac:dyDescent="0.35">
      <c r="A119" s="25" t="s">
        <v>618</v>
      </c>
      <c r="B119" s="26">
        <v>1200</v>
      </c>
      <c r="C119" s="26">
        <v>1400</v>
      </c>
    </row>
    <row r="120" spans="1:3" ht="6.65" customHeight="1" x14ac:dyDescent="0.35">
      <c r="A120" s="23" t="s">
        <v>197</v>
      </c>
      <c r="B120" s="26">
        <v>1200</v>
      </c>
      <c r="C120" s="26">
        <v>1400</v>
      </c>
    </row>
    <row r="121" spans="1:3" ht="6.65" customHeight="1" x14ac:dyDescent="0.35">
      <c r="A121" s="23" t="s">
        <v>198</v>
      </c>
      <c r="B121" s="24">
        <v>37834</v>
      </c>
      <c r="C121" s="24">
        <v>49333</v>
      </c>
    </row>
    <row r="122" spans="1:3" ht="6.65" customHeight="1" x14ac:dyDescent="0.35">
      <c r="A122" s="21" t="s">
        <v>199</v>
      </c>
      <c r="B122" s="22"/>
      <c r="C122" s="22"/>
    </row>
    <row r="123" spans="1:3" ht="6.65" customHeight="1" x14ac:dyDescent="0.35">
      <c r="A123" s="23" t="s">
        <v>200</v>
      </c>
      <c r="B123" s="24">
        <v>15932</v>
      </c>
      <c r="C123" s="24">
        <v>11475</v>
      </c>
    </row>
    <row r="124" spans="1:3" ht="6.65" customHeight="1" x14ac:dyDescent="0.35">
      <c r="A124" s="23" t="s">
        <v>201</v>
      </c>
      <c r="B124" s="24">
        <v>14842</v>
      </c>
      <c r="C124" s="24">
        <v>17178</v>
      </c>
    </row>
    <row r="125" spans="1:3" ht="6.65" customHeight="1" x14ac:dyDescent="0.35">
      <c r="A125" s="25" t="s">
        <v>202</v>
      </c>
      <c r="B125" s="24">
        <v>15009</v>
      </c>
      <c r="C125" s="24">
        <v>17361</v>
      </c>
    </row>
    <row r="126" spans="1:3" ht="6.65" customHeight="1" x14ac:dyDescent="0.35">
      <c r="A126" s="23" t="s">
        <v>203</v>
      </c>
      <c r="B126" s="24">
        <v>20324</v>
      </c>
      <c r="C126" s="24">
        <v>19277</v>
      </c>
    </row>
    <row r="127" spans="1:3" ht="6.65" customHeight="1" x14ac:dyDescent="0.35">
      <c r="A127" s="23" t="s">
        <v>204</v>
      </c>
      <c r="B127" s="26">
        <v>3772</v>
      </c>
      <c r="C127" s="26">
        <v>1388</v>
      </c>
    </row>
    <row r="128" spans="1:3" ht="6.65" customHeight="1" x14ac:dyDescent="0.35">
      <c r="A128" s="23" t="s">
        <v>205</v>
      </c>
      <c r="B128" s="24">
        <v>40566</v>
      </c>
      <c r="C128" s="24">
        <v>44243</v>
      </c>
    </row>
    <row r="129" spans="1:3" ht="6.65" customHeight="1" x14ac:dyDescent="0.35">
      <c r="A129" s="25" t="s">
        <v>206</v>
      </c>
      <c r="B129" s="24">
        <v>10311</v>
      </c>
      <c r="C129" s="24">
        <v>11991</v>
      </c>
    </row>
    <row r="130" spans="1:3" ht="6.65" customHeight="1" x14ac:dyDescent="0.35">
      <c r="A130" s="25" t="s">
        <v>207</v>
      </c>
      <c r="B130" s="24">
        <v>30255</v>
      </c>
      <c r="C130" s="24">
        <v>32252</v>
      </c>
    </row>
    <row r="131" spans="1:3" ht="6.65" customHeight="1" x14ac:dyDescent="0.35">
      <c r="A131" s="21" t="s">
        <v>208</v>
      </c>
      <c r="B131" s="22"/>
      <c r="C131" s="22"/>
    </row>
    <row r="132" spans="1:3" ht="6.65" customHeight="1" x14ac:dyDescent="0.35">
      <c r="A132" s="23" t="s">
        <v>209</v>
      </c>
      <c r="B132" s="24">
        <v>12112</v>
      </c>
      <c r="C132" s="24">
        <v>27831</v>
      </c>
    </row>
    <row r="133" spans="1:3" ht="6.65" customHeight="1" x14ac:dyDescent="0.35">
      <c r="A133" s="23" t="s">
        <v>210</v>
      </c>
      <c r="B133" s="24">
        <v>36634</v>
      </c>
      <c r="C133" s="24">
        <v>47933</v>
      </c>
    </row>
    <row r="134" spans="1:3" ht="6.65" customHeight="1" x14ac:dyDescent="0.35">
      <c r="A134" s="23" t="s">
        <v>213</v>
      </c>
      <c r="B134" s="30">
        <v>10000</v>
      </c>
      <c r="C134" s="30">
        <v>10000</v>
      </c>
    </row>
    <row r="135" spans="1:3" ht="6.65" customHeight="1" x14ac:dyDescent="0.35">
      <c r="A135" s="21" t="s">
        <v>214</v>
      </c>
      <c r="B135" s="22"/>
      <c r="C135" s="22"/>
    </row>
    <row r="136" spans="1:3" ht="6.65" customHeight="1" x14ac:dyDescent="0.35">
      <c r="A136" s="23" t="s">
        <v>215</v>
      </c>
      <c r="B136" s="24">
        <v>32400</v>
      </c>
      <c r="C136" s="24">
        <v>41438</v>
      </c>
    </row>
    <row r="137" spans="1:3" ht="6.65" customHeight="1" x14ac:dyDescent="0.35">
      <c r="A137" s="25" t="s">
        <v>216</v>
      </c>
      <c r="B137" s="26">
        <v>1749</v>
      </c>
      <c r="C137" s="26">
        <v>2000</v>
      </c>
    </row>
    <row r="138" spans="1:3" ht="6.65" customHeight="1" x14ac:dyDescent="0.35">
      <c r="A138" s="25" t="s">
        <v>217</v>
      </c>
      <c r="B138" s="26">
        <v>1999</v>
      </c>
      <c r="C138" s="26">
        <v>3216</v>
      </c>
    </row>
    <row r="139" spans="1:3" ht="6.65" customHeight="1" x14ac:dyDescent="0.35">
      <c r="A139" s="25" t="s">
        <v>218</v>
      </c>
      <c r="B139" s="26">
        <v>2385</v>
      </c>
      <c r="C139" s="26">
        <v>3128</v>
      </c>
    </row>
    <row r="140" spans="1:3" ht="6.65" customHeight="1" x14ac:dyDescent="0.35">
      <c r="A140" s="25" t="s">
        <v>219</v>
      </c>
      <c r="B140" s="26">
        <v>2275</v>
      </c>
      <c r="C140" s="26">
        <v>2153</v>
      </c>
    </row>
    <row r="141" spans="1:3" ht="6.65" customHeight="1" x14ac:dyDescent="0.35">
      <c r="A141" s="25" t="s">
        <v>220</v>
      </c>
      <c r="B141" s="26">
        <v>1444</v>
      </c>
      <c r="C141" s="26">
        <v>2689</v>
      </c>
    </row>
    <row r="142" spans="1:3" ht="6.65" customHeight="1" x14ac:dyDescent="0.35">
      <c r="A142" s="25" t="s">
        <v>431</v>
      </c>
      <c r="B142" s="24">
        <v>22548</v>
      </c>
      <c r="C142" s="24">
        <v>28252</v>
      </c>
    </row>
    <row r="143" spans="1:3" ht="6.65" customHeight="1" x14ac:dyDescent="0.35">
      <c r="A143" s="23" t="s">
        <v>221</v>
      </c>
      <c r="B143" s="26">
        <v>4384</v>
      </c>
      <c r="C143" s="26">
        <v>6344</v>
      </c>
    </row>
    <row r="144" spans="1:3" ht="6.65" customHeight="1" x14ac:dyDescent="0.35">
      <c r="A144" s="23" t="s">
        <v>222</v>
      </c>
      <c r="B144" s="26">
        <v>3719</v>
      </c>
      <c r="C144" s="26">
        <v>4842</v>
      </c>
    </row>
    <row r="145" spans="1:3" ht="6.65" customHeight="1" x14ac:dyDescent="0.35">
      <c r="A145" s="23" t="s">
        <v>432</v>
      </c>
      <c r="B145" s="24">
        <v>22548</v>
      </c>
      <c r="C145" s="24">
        <v>28252</v>
      </c>
    </row>
    <row r="146" spans="1:3" ht="6.65" customHeight="1" x14ac:dyDescent="0.35">
      <c r="A146" s="21" t="s">
        <v>82</v>
      </c>
      <c r="B146" s="22"/>
      <c r="C146" s="22"/>
    </row>
    <row r="147" spans="1:3" ht="6.65" customHeight="1" x14ac:dyDescent="0.35">
      <c r="A147" s="23" t="s">
        <v>240</v>
      </c>
      <c r="B147" s="31">
        <v>-3469</v>
      </c>
      <c r="C147" s="31">
        <v>-7794</v>
      </c>
    </row>
    <row r="148" spans="1:3" ht="6.65" customHeight="1" x14ac:dyDescent="0.35">
      <c r="A148" s="23" t="s">
        <v>241</v>
      </c>
      <c r="B148" s="24">
        <v>126863</v>
      </c>
      <c r="C148" s="24">
        <v>141146</v>
      </c>
    </row>
    <row r="149" spans="1:3" ht="6.65" customHeight="1" x14ac:dyDescent="0.35">
      <c r="A149" s="23" t="s">
        <v>242</v>
      </c>
      <c r="B149" s="26">
        <v>9041</v>
      </c>
      <c r="C149" s="26">
        <v>9292</v>
      </c>
    </row>
    <row r="150" spans="1:3" ht="6.65" customHeight="1" x14ac:dyDescent="0.35">
      <c r="A150" s="23" t="s">
        <v>243</v>
      </c>
      <c r="B150" s="24">
        <v>24522</v>
      </c>
      <c r="C150" s="24">
        <v>20102</v>
      </c>
    </row>
    <row r="151" spans="1:3" ht="6.65" customHeight="1" x14ac:dyDescent="0.35">
      <c r="A151" s="23" t="s">
        <v>244</v>
      </c>
      <c r="B151" s="24">
        <v>36634</v>
      </c>
      <c r="C151" s="24">
        <v>47933</v>
      </c>
    </row>
    <row r="152" spans="1:3" ht="6.65" customHeight="1" x14ac:dyDescent="0.35">
      <c r="A152" s="23" t="s">
        <v>245</v>
      </c>
      <c r="B152" s="26">
        <v>451</v>
      </c>
      <c r="C152" s="26">
        <v>665</v>
      </c>
    </row>
    <row r="153" spans="1:3" ht="6.65" customHeight="1" x14ac:dyDescent="0.35">
      <c r="A153" s="23" t="s">
        <v>246</v>
      </c>
      <c r="B153" s="24">
        <v>83602</v>
      </c>
      <c r="C153" s="24">
        <v>109375</v>
      </c>
    </row>
    <row r="154" spans="1:3" ht="6.65" customHeight="1" x14ac:dyDescent="0.35">
      <c r="A154" s="23" t="s">
        <v>247</v>
      </c>
      <c r="B154" s="24">
        <v>83602</v>
      </c>
      <c r="C154" s="24">
        <v>109375</v>
      </c>
    </row>
    <row r="155" spans="1:3" ht="6.65" customHeight="1" x14ac:dyDescent="0.35">
      <c r="A155" s="23" t="s">
        <v>248</v>
      </c>
      <c r="B155" s="26">
        <v>9703</v>
      </c>
      <c r="C155" s="24">
        <v>13748</v>
      </c>
    </row>
    <row r="156" spans="1:3" ht="6.65" customHeight="1" x14ac:dyDescent="0.35">
      <c r="A156" s="23" t="s">
        <v>249</v>
      </c>
      <c r="B156" s="24">
        <v>71490</v>
      </c>
      <c r="C156" s="24">
        <v>81544</v>
      </c>
    </row>
    <row r="157" spans="1:3" ht="6.65" customHeight="1" x14ac:dyDescent="0.35">
      <c r="A157" s="23" t="s">
        <v>250</v>
      </c>
      <c r="B157" s="29">
        <v>-10328</v>
      </c>
      <c r="C157" s="29">
        <v>-17631</v>
      </c>
    </row>
    <row r="158" spans="1:3" ht="6.65" customHeight="1" x14ac:dyDescent="0.35">
      <c r="A158" s="23" t="s">
        <v>251</v>
      </c>
      <c r="B158" s="29">
        <v>-10328</v>
      </c>
      <c r="C158" s="29">
        <v>-17631</v>
      </c>
    </row>
    <row r="159" spans="1:3" ht="6.65" customHeight="1" x14ac:dyDescent="0.35">
      <c r="A159" s="23" t="s">
        <v>252</v>
      </c>
      <c r="B159" s="24">
        <v>108124</v>
      </c>
      <c r="C159" s="24">
        <v>129477</v>
      </c>
    </row>
    <row r="160" spans="1:3" ht="6.65" customHeight="1" x14ac:dyDescent="0.35">
      <c r="A160" s="23" t="s">
        <v>253</v>
      </c>
      <c r="B160" s="24">
        <v>108124</v>
      </c>
      <c r="C160" s="24">
        <v>129477</v>
      </c>
    </row>
    <row r="161" spans="1:3" ht="6.65" customHeight="1" x14ac:dyDescent="0.35">
      <c r="A161" s="23" t="s">
        <v>254</v>
      </c>
      <c r="B161" s="24">
        <v>129783</v>
      </c>
      <c r="C161" s="24">
        <v>145084</v>
      </c>
    </row>
    <row r="162" spans="1:3" ht="6.65" customHeight="1" x14ac:dyDescent="0.35">
      <c r="A162" s="23" t="s">
        <v>255</v>
      </c>
      <c r="B162" s="24">
        <v>80011</v>
      </c>
      <c r="C162" s="24">
        <v>94814</v>
      </c>
    </row>
    <row r="163" spans="1:3" ht="6.65" customHeight="1" x14ac:dyDescent="0.35">
      <c r="A163" s="23" t="s">
        <v>256</v>
      </c>
      <c r="B163" s="26">
        <v>5572</v>
      </c>
      <c r="C163" s="26">
        <v>1498</v>
      </c>
    </row>
    <row r="164" spans="1:3" ht="6.65" customHeight="1" x14ac:dyDescent="0.35">
      <c r="A164" s="23" t="s">
        <v>257</v>
      </c>
      <c r="B164" s="29">
        <v>-18950</v>
      </c>
      <c r="C164" s="29">
        <v>-18604</v>
      </c>
    </row>
    <row r="165" spans="1:3" ht="6.65" customHeight="1" x14ac:dyDescent="0.35">
      <c r="A165" s="23" t="s">
        <v>258</v>
      </c>
      <c r="B165" s="24">
        <v>71490</v>
      </c>
      <c r="C165" s="24">
        <v>81544</v>
      </c>
    </row>
    <row r="166" spans="1:3" ht="6.65" customHeight="1" x14ac:dyDescent="0.35">
      <c r="A166" s="23" t="s">
        <v>546</v>
      </c>
      <c r="B166" s="24">
        <v>12281</v>
      </c>
      <c r="C166" s="24">
        <v>17391</v>
      </c>
    </row>
    <row r="167" spans="1:3" ht="6.65" customHeight="1" x14ac:dyDescent="0.35">
      <c r="A167" s="21" t="s">
        <v>259</v>
      </c>
      <c r="B167" s="22"/>
      <c r="C167" s="22"/>
    </row>
    <row r="168" spans="1:3" ht="6.65" customHeight="1" x14ac:dyDescent="0.35">
      <c r="A168" s="23" t="s">
        <v>260</v>
      </c>
      <c r="B168" s="24">
        <v>114147</v>
      </c>
      <c r="C168" s="24">
        <v>108358</v>
      </c>
    </row>
    <row r="169" spans="1:3" ht="6.65" customHeight="1" x14ac:dyDescent="0.35">
      <c r="A169" s="21" t="s">
        <v>273</v>
      </c>
      <c r="B169" s="22"/>
      <c r="C169" s="22"/>
    </row>
    <row r="170" spans="1:3" ht="6.65" customHeight="1" x14ac:dyDescent="0.35">
      <c r="A170" s="23" t="s">
        <v>274</v>
      </c>
      <c r="B170" s="24">
        <v>138100</v>
      </c>
      <c r="C170" s="24">
        <v>138200</v>
      </c>
    </row>
    <row r="171" spans="1:3" ht="6.65" customHeight="1" x14ac:dyDescent="0.35">
      <c r="A171" s="23" t="s">
        <v>275</v>
      </c>
      <c r="B171" s="24">
        <v>138100</v>
      </c>
      <c r="C171" s="24">
        <v>138200</v>
      </c>
    </row>
    <row r="176" spans="1:3" x14ac:dyDescent="0.35">
      <c r="A176" s="15" t="s">
        <v>110</v>
      </c>
      <c r="B176" s="16" t="s">
        <v>111</v>
      </c>
      <c r="C176" s="16" t="s">
        <v>112</v>
      </c>
    </row>
    <row r="177" spans="1:3" x14ac:dyDescent="0.35">
      <c r="A177" s="17" t="s">
        <v>113</v>
      </c>
      <c r="B177" s="18">
        <v>45655</v>
      </c>
      <c r="C177" s="18">
        <v>46019</v>
      </c>
    </row>
    <row r="178" spans="1:3" x14ac:dyDescent="0.35">
      <c r="A178" s="17" t="s">
        <v>114</v>
      </c>
      <c r="B178" s="18" t="s">
        <v>115</v>
      </c>
      <c r="C178" s="18" t="s">
        <v>115</v>
      </c>
    </row>
    <row r="179" spans="1:3" x14ac:dyDescent="0.35">
      <c r="A179" s="19" t="s">
        <v>276</v>
      </c>
      <c r="B179" s="15"/>
      <c r="C179" s="15"/>
    </row>
    <row r="180" spans="1:3" x14ac:dyDescent="0.35">
      <c r="A180" s="19" t="s">
        <v>117</v>
      </c>
      <c r="B180" s="20" t="s">
        <v>616</v>
      </c>
      <c r="C180" s="20" t="s">
        <v>617</v>
      </c>
    </row>
    <row r="181" spans="1:3" x14ac:dyDescent="0.35">
      <c r="A181" s="21" t="s">
        <v>277</v>
      </c>
      <c r="B181" s="22"/>
      <c r="C181" s="22"/>
    </row>
    <row r="182" spans="1:3" x14ac:dyDescent="0.35">
      <c r="A182" s="23" t="s">
        <v>278</v>
      </c>
      <c r="B182" s="24">
        <v>88821</v>
      </c>
      <c r="C182" s="24">
        <v>94193</v>
      </c>
    </row>
    <row r="183" spans="1:3" x14ac:dyDescent="0.35">
      <c r="A183" s="25" t="s">
        <v>279</v>
      </c>
      <c r="B183" s="24">
        <v>88821</v>
      </c>
      <c r="C183" s="24">
        <v>94193</v>
      </c>
    </row>
    <row r="184" spans="1:3" x14ac:dyDescent="0.35">
      <c r="A184" s="27" t="s">
        <v>64</v>
      </c>
      <c r="B184" s="28">
        <v>88821</v>
      </c>
      <c r="C184" s="28">
        <v>94193</v>
      </c>
    </row>
    <row r="185" spans="1:3" x14ac:dyDescent="0.35">
      <c r="A185" s="21" t="s">
        <v>280</v>
      </c>
      <c r="B185" s="22"/>
      <c r="C185" s="22"/>
    </row>
    <row r="186" spans="1:3" x14ac:dyDescent="0.35">
      <c r="A186" s="23" t="s">
        <v>281</v>
      </c>
      <c r="B186" s="24">
        <v>27436</v>
      </c>
      <c r="C186" s="24">
        <v>30165</v>
      </c>
    </row>
    <row r="187" spans="1:3" x14ac:dyDescent="0.35">
      <c r="A187" s="25" t="s">
        <v>282</v>
      </c>
      <c r="B187" s="24">
        <v>27436</v>
      </c>
      <c r="C187" s="24">
        <v>30165</v>
      </c>
    </row>
    <row r="188" spans="1:3" x14ac:dyDescent="0.35">
      <c r="A188" s="25" t="s">
        <v>283</v>
      </c>
      <c r="B188" s="24">
        <v>22936</v>
      </c>
      <c r="C188" s="24">
        <v>25565</v>
      </c>
    </row>
    <row r="189" spans="1:3" x14ac:dyDescent="0.35">
      <c r="A189" s="25" t="s">
        <v>494</v>
      </c>
      <c r="B189" s="26">
        <v>4500</v>
      </c>
      <c r="C189" s="26">
        <v>4600</v>
      </c>
    </row>
    <row r="190" spans="1:3" x14ac:dyDescent="0.35">
      <c r="A190" s="27" t="s">
        <v>68</v>
      </c>
      <c r="B190" s="28">
        <v>61385</v>
      </c>
      <c r="C190" s="28">
        <v>64028</v>
      </c>
    </row>
    <row r="191" spans="1:3" x14ac:dyDescent="0.35">
      <c r="A191" s="23" t="s">
        <v>286</v>
      </c>
      <c r="B191" s="24">
        <v>40101</v>
      </c>
      <c r="C191" s="24">
        <v>38341</v>
      </c>
    </row>
    <row r="192" spans="1:3" x14ac:dyDescent="0.35">
      <c r="A192" s="25" t="s">
        <v>287</v>
      </c>
      <c r="B192" s="24">
        <v>22269</v>
      </c>
      <c r="C192" s="24">
        <v>22076</v>
      </c>
    </row>
    <row r="193" spans="1:3" x14ac:dyDescent="0.35">
      <c r="A193" s="25" t="s">
        <v>529</v>
      </c>
      <c r="B193" s="24">
        <v>17232</v>
      </c>
      <c r="C193" s="24">
        <v>14665</v>
      </c>
    </row>
    <row r="194" spans="1:3" x14ac:dyDescent="0.35">
      <c r="A194" s="25" t="s">
        <v>289</v>
      </c>
      <c r="B194" s="26">
        <v>600</v>
      </c>
      <c r="C194" s="26">
        <v>1600</v>
      </c>
    </row>
    <row r="195" spans="1:3" x14ac:dyDescent="0.35">
      <c r="A195" s="25" t="s">
        <v>577</v>
      </c>
      <c r="B195" s="26">
        <v>600</v>
      </c>
      <c r="C195" s="26">
        <v>1600</v>
      </c>
    </row>
    <row r="196" spans="1:3" x14ac:dyDescent="0.35">
      <c r="A196" s="23" t="s">
        <v>291</v>
      </c>
      <c r="B196" s="31">
        <v>-2420</v>
      </c>
      <c r="C196" s="31">
        <v>-1456</v>
      </c>
    </row>
    <row r="197" spans="1:3" x14ac:dyDescent="0.35">
      <c r="A197" s="25" t="s">
        <v>448</v>
      </c>
      <c r="B197" s="26">
        <v>2220</v>
      </c>
      <c r="C197" s="24"/>
    </row>
    <row r="198" spans="1:3" x14ac:dyDescent="0.35">
      <c r="A198" s="25" t="s">
        <v>568</v>
      </c>
      <c r="B198" s="26">
        <v>200</v>
      </c>
      <c r="C198" s="24"/>
    </row>
    <row r="199" spans="1:3" x14ac:dyDescent="0.35">
      <c r="A199" s="23" t="s">
        <v>76</v>
      </c>
      <c r="B199" s="24">
        <v>65117</v>
      </c>
      <c r="C199" s="24">
        <v>67050</v>
      </c>
    </row>
    <row r="200" spans="1:3" x14ac:dyDescent="0.35">
      <c r="A200" s="21" t="s">
        <v>292</v>
      </c>
      <c r="B200" s="22"/>
      <c r="C200" s="22"/>
    </row>
    <row r="201" spans="1:3" x14ac:dyDescent="0.35">
      <c r="A201" s="27" t="s">
        <v>293</v>
      </c>
      <c r="B201" s="28">
        <v>23704</v>
      </c>
      <c r="C201" s="28">
        <v>27143</v>
      </c>
    </row>
    <row r="202" spans="1:3" x14ac:dyDescent="0.35">
      <c r="A202" s="21" t="s">
        <v>294</v>
      </c>
      <c r="B202" s="22"/>
      <c r="C202" s="22"/>
    </row>
    <row r="203" spans="1:3" x14ac:dyDescent="0.35">
      <c r="A203" s="23" t="s">
        <v>295</v>
      </c>
      <c r="B203" s="26">
        <v>363</v>
      </c>
      <c r="C203" s="31">
        <v>-169</v>
      </c>
    </row>
    <row r="204" spans="1:3" x14ac:dyDescent="0.35">
      <c r="A204" s="25" t="s">
        <v>81</v>
      </c>
      <c r="B204" s="31">
        <v>-577</v>
      </c>
      <c r="C204" s="32">
        <v>-85</v>
      </c>
    </row>
    <row r="205" spans="1:3" x14ac:dyDescent="0.35">
      <c r="A205" s="25" t="s">
        <v>296</v>
      </c>
      <c r="B205" s="26">
        <v>1332</v>
      </c>
      <c r="C205" s="26">
        <v>1056</v>
      </c>
    </row>
    <row r="206" spans="1:3" x14ac:dyDescent="0.35">
      <c r="A206" s="25" t="s">
        <v>297</v>
      </c>
      <c r="B206" s="26">
        <v>755</v>
      </c>
      <c r="C206" s="26">
        <v>971</v>
      </c>
    </row>
    <row r="207" spans="1:3" x14ac:dyDescent="0.35">
      <c r="A207" s="25" t="s">
        <v>298</v>
      </c>
      <c r="B207" s="26">
        <v>834</v>
      </c>
      <c r="C207" s="26">
        <v>1085</v>
      </c>
    </row>
    <row r="208" spans="1:3" x14ac:dyDescent="0.35">
      <c r="A208" s="25" t="s">
        <v>299</v>
      </c>
      <c r="B208" s="30">
        <v>79</v>
      </c>
      <c r="C208" s="26">
        <v>114</v>
      </c>
    </row>
    <row r="209" spans="1:3" x14ac:dyDescent="0.35">
      <c r="A209" s="25" t="s">
        <v>300</v>
      </c>
      <c r="B209" s="31">
        <v>-214</v>
      </c>
      <c r="C209" s="31">
        <v>-254</v>
      </c>
    </row>
    <row r="210" spans="1:3" x14ac:dyDescent="0.35">
      <c r="A210" s="25" t="s">
        <v>301</v>
      </c>
      <c r="B210" s="31">
        <v>-214</v>
      </c>
      <c r="C210" s="31">
        <v>-254</v>
      </c>
    </row>
    <row r="211" spans="1:3" x14ac:dyDescent="0.35">
      <c r="A211" s="23" t="s">
        <v>438</v>
      </c>
      <c r="B211" s="26">
        <v>200</v>
      </c>
      <c r="C211" s="24"/>
    </row>
    <row r="212" spans="1:3" x14ac:dyDescent="0.35">
      <c r="A212" s="25" t="s">
        <v>439</v>
      </c>
      <c r="B212" s="26">
        <v>200</v>
      </c>
      <c r="C212" s="24"/>
    </row>
    <row r="213" spans="1:3" x14ac:dyDescent="0.35">
      <c r="A213" s="23" t="s">
        <v>304</v>
      </c>
      <c r="B213" s="24">
        <v>24267</v>
      </c>
      <c r="C213" s="24">
        <v>26974</v>
      </c>
    </row>
    <row r="214" spans="1:3" x14ac:dyDescent="0.35">
      <c r="A214" s="21" t="s">
        <v>305</v>
      </c>
      <c r="B214" s="22"/>
      <c r="C214" s="22"/>
    </row>
    <row r="215" spans="1:3" x14ac:dyDescent="0.35">
      <c r="A215" s="23" t="s">
        <v>306</v>
      </c>
      <c r="B215" s="31">
        <v>-7580</v>
      </c>
      <c r="C215" s="26">
        <v>5607</v>
      </c>
    </row>
    <row r="216" spans="1:3" x14ac:dyDescent="0.35">
      <c r="A216" s="25" t="s">
        <v>307</v>
      </c>
      <c r="B216" s="26">
        <v>200</v>
      </c>
      <c r="C216" s="24"/>
    </row>
    <row r="217" spans="1:3" x14ac:dyDescent="0.35">
      <c r="A217" s="25" t="s">
        <v>554</v>
      </c>
      <c r="B217" s="26">
        <v>200</v>
      </c>
      <c r="C217" s="24"/>
    </row>
    <row r="218" spans="1:3" x14ac:dyDescent="0.35">
      <c r="A218" s="25" t="s">
        <v>310</v>
      </c>
      <c r="B218" s="26">
        <v>269</v>
      </c>
      <c r="C218" s="26">
        <v>512</v>
      </c>
    </row>
    <row r="219" spans="1:3" x14ac:dyDescent="0.35">
      <c r="A219" s="25" t="s">
        <v>614</v>
      </c>
      <c r="B219" s="26">
        <v>211</v>
      </c>
      <c r="C219" s="30">
        <v>81</v>
      </c>
    </row>
    <row r="220" spans="1:3" x14ac:dyDescent="0.35">
      <c r="A220" s="25" t="s">
        <v>569</v>
      </c>
      <c r="B220" s="26">
        <v>5500</v>
      </c>
      <c r="C220" s="31">
        <v>-6000</v>
      </c>
    </row>
    <row r="221" spans="1:3" x14ac:dyDescent="0.35">
      <c r="A221" s="25" t="s">
        <v>530</v>
      </c>
      <c r="B221" s="31">
        <v>-300</v>
      </c>
      <c r="C221" s="26">
        <v>400</v>
      </c>
    </row>
    <row r="222" spans="1:3" x14ac:dyDescent="0.35">
      <c r="A222" s="25" t="s">
        <v>312</v>
      </c>
      <c r="B222" s="31">
        <v>-800</v>
      </c>
      <c r="C222" s="31">
        <v>-200</v>
      </c>
    </row>
    <row r="223" spans="1:3" x14ac:dyDescent="0.35">
      <c r="A223" s="25" t="s">
        <v>619</v>
      </c>
      <c r="B223" s="31">
        <v>-100</v>
      </c>
      <c r="C223" s="24"/>
    </row>
    <row r="224" spans="1:3" x14ac:dyDescent="0.35">
      <c r="A224" s="25" t="s">
        <v>620</v>
      </c>
      <c r="B224" s="31">
        <v>-100</v>
      </c>
      <c r="C224" s="24"/>
    </row>
    <row r="225" spans="1:3" x14ac:dyDescent="0.35">
      <c r="A225" s="25" t="s">
        <v>441</v>
      </c>
      <c r="B225" s="31">
        <v>-200</v>
      </c>
      <c r="C225" s="24"/>
    </row>
    <row r="226" spans="1:3" x14ac:dyDescent="0.35">
      <c r="A226" s="21" t="s">
        <v>313</v>
      </c>
      <c r="B226" s="22"/>
      <c r="C226" s="22"/>
    </row>
    <row r="227" spans="1:3" x14ac:dyDescent="0.35">
      <c r="A227" s="27" t="s">
        <v>83</v>
      </c>
      <c r="B227" s="28">
        <v>16687</v>
      </c>
      <c r="C227" s="28">
        <v>32581</v>
      </c>
    </row>
    <row r="228" spans="1:3" x14ac:dyDescent="0.35">
      <c r="A228" s="21" t="s">
        <v>314</v>
      </c>
      <c r="B228" s="22"/>
      <c r="C228" s="22"/>
    </row>
    <row r="229" spans="1:3" x14ac:dyDescent="0.35">
      <c r="A229" s="23" t="s">
        <v>84</v>
      </c>
      <c r="B229" s="26">
        <v>2621</v>
      </c>
      <c r="C229" s="26">
        <v>4777</v>
      </c>
    </row>
    <row r="230" spans="1:3" x14ac:dyDescent="0.35">
      <c r="A230" s="25" t="s">
        <v>315</v>
      </c>
      <c r="B230" s="26">
        <v>4804</v>
      </c>
      <c r="C230" s="26">
        <v>4239</v>
      </c>
    </row>
    <row r="231" spans="1:3" x14ac:dyDescent="0.35">
      <c r="A231" s="25" t="s">
        <v>316</v>
      </c>
      <c r="B231" s="26">
        <v>2200</v>
      </c>
      <c r="C231" s="26">
        <v>1163</v>
      </c>
    </row>
    <row r="232" spans="1:3" x14ac:dyDescent="0.35">
      <c r="A232" s="25" t="s">
        <v>317</v>
      </c>
      <c r="B232" s="26">
        <v>2604</v>
      </c>
      <c r="C232" s="26">
        <v>3076</v>
      </c>
    </row>
    <row r="233" spans="1:3" x14ac:dyDescent="0.35">
      <c r="A233" s="25" t="s">
        <v>318</v>
      </c>
      <c r="B233" s="31">
        <v>-2183</v>
      </c>
      <c r="C233" s="26">
        <v>538</v>
      </c>
    </row>
    <row r="234" spans="1:3" x14ac:dyDescent="0.35">
      <c r="A234" s="25" t="s">
        <v>319</v>
      </c>
      <c r="B234" s="31">
        <v>-2539</v>
      </c>
      <c r="C234" s="26">
        <v>1008</v>
      </c>
    </row>
    <row r="235" spans="1:3" x14ac:dyDescent="0.35">
      <c r="A235" s="25" t="s">
        <v>320</v>
      </c>
      <c r="B235" s="26">
        <v>356</v>
      </c>
      <c r="C235" s="31">
        <v>-470</v>
      </c>
    </row>
    <row r="236" spans="1:3" x14ac:dyDescent="0.35">
      <c r="A236" s="21" t="s">
        <v>321</v>
      </c>
      <c r="B236" s="22"/>
      <c r="C236" s="22"/>
    </row>
    <row r="237" spans="1:3" x14ac:dyDescent="0.35">
      <c r="A237" s="23" t="s">
        <v>322</v>
      </c>
      <c r="B237" s="24">
        <v>14066</v>
      </c>
      <c r="C237" s="24">
        <v>27804</v>
      </c>
    </row>
    <row r="238" spans="1:3" x14ac:dyDescent="0.35">
      <c r="A238" s="21" t="s">
        <v>323</v>
      </c>
      <c r="B238" s="22"/>
      <c r="C238" s="22"/>
    </row>
    <row r="239" spans="1:3" x14ac:dyDescent="0.35">
      <c r="A239" s="27" t="s">
        <v>324</v>
      </c>
      <c r="B239" s="28">
        <v>14066</v>
      </c>
      <c r="C239" s="28">
        <v>27804</v>
      </c>
    </row>
    <row r="240" spans="1:3" x14ac:dyDescent="0.35">
      <c r="A240" s="23" t="s">
        <v>325</v>
      </c>
      <c r="B240" s="24">
        <v>0</v>
      </c>
      <c r="C240" s="31">
        <v>-1000</v>
      </c>
    </row>
    <row r="241" spans="1:3" x14ac:dyDescent="0.35">
      <c r="A241" s="25" t="s">
        <v>326</v>
      </c>
      <c r="B241" s="24"/>
      <c r="C241" s="31">
        <v>-1000</v>
      </c>
    </row>
    <row r="242" spans="1:3" x14ac:dyDescent="0.35">
      <c r="A242" s="23" t="s">
        <v>327</v>
      </c>
      <c r="B242" s="24">
        <v>14066</v>
      </c>
      <c r="C242" s="24">
        <v>26804</v>
      </c>
    </row>
    <row r="243" spans="1:3" x14ac:dyDescent="0.35">
      <c r="A243" s="23" t="s">
        <v>85</v>
      </c>
      <c r="B243" s="24">
        <v>14066</v>
      </c>
      <c r="C243" s="24">
        <v>26804</v>
      </c>
    </row>
    <row r="244" spans="1:3" x14ac:dyDescent="0.35">
      <c r="A244" s="21" t="s">
        <v>328</v>
      </c>
      <c r="B244" s="22"/>
      <c r="C244" s="22"/>
    </row>
    <row r="245" spans="1:3" x14ac:dyDescent="0.35">
      <c r="A245" s="27" t="s">
        <v>330</v>
      </c>
      <c r="B245" s="28">
        <v>14066</v>
      </c>
      <c r="C245" s="28">
        <v>26804</v>
      </c>
    </row>
    <row r="246" spans="1:3" x14ac:dyDescent="0.35">
      <c r="A246" s="21" t="s">
        <v>331</v>
      </c>
      <c r="B246" s="22"/>
      <c r="C246" s="22"/>
    </row>
    <row r="247" spans="1:3" x14ac:dyDescent="0.35">
      <c r="A247" s="23" t="s">
        <v>332</v>
      </c>
      <c r="B247" s="24">
        <v>14066</v>
      </c>
      <c r="C247" s="24">
        <v>26804</v>
      </c>
    </row>
    <row r="248" spans="1:3" x14ac:dyDescent="0.35">
      <c r="A248" s="23" t="s">
        <v>333</v>
      </c>
      <c r="B248" s="26">
        <v>1708</v>
      </c>
      <c r="C248" s="31">
        <v>-5506</v>
      </c>
    </row>
    <row r="249" spans="1:3" x14ac:dyDescent="0.35">
      <c r="A249" s="23" t="s">
        <v>334</v>
      </c>
      <c r="B249" s="30">
        <v>2</v>
      </c>
      <c r="C249" s="32">
        <v>-1</v>
      </c>
    </row>
    <row r="250" spans="1:3" x14ac:dyDescent="0.35">
      <c r="A250" s="23" t="s">
        <v>335</v>
      </c>
      <c r="B250" s="31">
        <v>-1373</v>
      </c>
      <c r="C250" s="26">
        <v>1460</v>
      </c>
    </row>
    <row r="251" spans="1:3" x14ac:dyDescent="0.35">
      <c r="A251" s="23" t="s">
        <v>336</v>
      </c>
      <c r="B251" s="26">
        <v>449</v>
      </c>
      <c r="C251" s="26">
        <v>858</v>
      </c>
    </row>
    <row r="252" spans="1:3" x14ac:dyDescent="0.35">
      <c r="A252" s="23" t="s">
        <v>338</v>
      </c>
      <c r="B252" s="26">
        <v>786</v>
      </c>
      <c r="C252" s="31">
        <v>-3189</v>
      </c>
    </row>
    <row r="253" spans="1:3" x14ac:dyDescent="0.35">
      <c r="A253" s="27" t="s">
        <v>339</v>
      </c>
      <c r="B253" s="28">
        <v>14852</v>
      </c>
      <c r="C253" s="28">
        <v>23615</v>
      </c>
    </row>
    <row r="254" spans="1:3" x14ac:dyDescent="0.35">
      <c r="A254" s="23" t="s">
        <v>340</v>
      </c>
      <c r="B254" s="24">
        <v>14852</v>
      </c>
      <c r="C254" s="24">
        <v>23615</v>
      </c>
    </row>
    <row r="255" spans="1:3" x14ac:dyDescent="0.35">
      <c r="A255" s="21" t="s">
        <v>341</v>
      </c>
      <c r="B255" s="22"/>
      <c r="C255" s="22"/>
    </row>
    <row r="256" spans="1:3" x14ac:dyDescent="0.35">
      <c r="A256" s="23" t="s">
        <v>342</v>
      </c>
      <c r="B256" s="24">
        <v>14066</v>
      </c>
      <c r="C256" s="24">
        <v>26804</v>
      </c>
    </row>
    <row r="257" spans="1:3" x14ac:dyDescent="0.35">
      <c r="A257" s="25" t="s">
        <v>343</v>
      </c>
      <c r="B257" s="24">
        <v>14066</v>
      </c>
      <c r="C257" s="24">
        <v>27804</v>
      </c>
    </row>
    <row r="258" spans="1:3" x14ac:dyDescent="0.35">
      <c r="A258" s="25" t="s">
        <v>344</v>
      </c>
      <c r="B258" s="26">
        <v>2407.3000000000002</v>
      </c>
      <c r="C258" s="26">
        <v>2407.4</v>
      </c>
    </row>
    <row r="259" spans="1:3" x14ac:dyDescent="0.35">
      <c r="A259" s="25" t="s">
        <v>345</v>
      </c>
      <c r="B259" s="30">
        <v>5.84</v>
      </c>
      <c r="C259" s="30">
        <v>11.13</v>
      </c>
    </row>
    <row r="260" spans="1:3" x14ac:dyDescent="0.35">
      <c r="A260" s="25" t="s">
        <v>346</v>
      </c>
      <c r="B260" s="30">
        <v>5.84</v>
      </c>
      <c r="C260" s="30">
        <v>11.55</v>
      </c>
    </row>
    <row r="261" spans="1:3" x14ac:dyDescent="0.35">
      <c r="A261" s="25" t="s">
        <v>347</v>
      </c>
      <c r="B261" s="30">
        <v>8.99</v>
      </c>
      <c r="C261" s="30">
        <v>9.2200000000000006</v>
      </c>
    </row>
    <row r="262" spans="1:3" x14ac:dyDescent="0.35">
      <c r="A262" s="23" t="s">
        <v>348</v>
      </c>
      <c r="B262" s="24">
        <v>14066</v>
      </c>
      <c r="C262" s="24">
        <v>26804</v>
      </c>
    </row>
    <row r="263" spans="1:3" x14ac:dyDescent="0.35">
      <c r="A263" s="23" t="s">
        <v>349</v>
      </c>
      <c r="B263" s="30">
        <v>1</v>
      </c>
      <c r="C263" s="30">
        <v>1</v>
      </c>
    </row>
    <row r="264" spans="1:3" x14ac:dyDescent="0.35">
      <c r="A264" s="25" t="s">
        <v>350</v>
      </c>
      <c r="B264" s="26">
        <v>2407.3000000000002</v>
      </c>
      <c r="C264" s="26">
        <v>2407.4</v>
      </c>
    </row>
    <row r="265" spans="1:3" x14ac:dyDescent="0.35">
      <c r="A265" s="25" t="s">
        <v>351</v>
      </c>
      <c r="B265" s="30">
        <v>5.84</v>
      </c>
      <c r="C265" s="30">
        <v>11.13</v>
      </c>
    </row>
    <row r="266" spans="1:3" x14ac:dyDescent="0.35">
      <c r="A266" s="25" t="s">
        <v>352</v>
      </c>
      <c r="B266" s="30">
        <v>5.84</v>
      </c>
      <c r="C266" s="30">
        <v>11.55</v>
      </c>
    </row>
    <row r="267" spans="1:3" x14ac:dyDescent="0.35">
      <c r="A267" s="25" t="s">
        <v>353</v>
      </c>
      <c r="B267" s="30">
        <v>8.99</v>
      </c>
      <c r="C267" s="30">
        <v>9.2200000000000006</v>
      </c>
    </row>
    <row r="268" spans="1:3" x14ac:dyDescent="0.35">
      <c r="A268" s="23" t="s">
        <v>354</v>
      </c>
      <c r="B268" s="24">
        <v>0</v>
      </c>
      <c r="C268" s="32">
        <v>-0.42</v>
      </c>
    </row>
    <row r="269" spans="1:3" x14ac:dyDescent="0.35">
      <c r="A269" s="23" t="s">
        <v>355</v>
      </c>
      <c r="B269" s="30">
        <v>6.17</v>
      </c>
      <c r="C269" s="30">
        <v>9.81</v>
      </c>
    </row>
    <row r="270" spans="1:3" x14ac:dyDescent="0.35">
      <c r="A270" s="21" t="s">
        <v>356</v>
      </c>
      <c r="B270" s="22"/>
      <c r="C270" s="22"/>
    </row>
    <row r="271" spans="1:3" x14ac:dyDescent="0.35">
      <c r="A271" s="23" t="s">
        <v>357</v>
      </c>
      <c r="B271" s="24">
        <v>14066</v>
      </c>
      <c r="C271" s="24">
        <v>26804</v>
      </c>
    </row>
    <row r="272" spans="1:3" x14ac:dyDescent="0.35">
      <c r="A272" s="25" t="s">
        <v>358</v>
      </c>
      <c r="B272" s="24">
        <v>14066</v>
      </c>
      <c r="C272" s="24">
        <v>27804</v>
      </c>
    </row>
    <row r="273" spans="1:3" x14ac:dyDescent="0.35">
      <c r="A273" s="25" t="s">
        <v>359</v>
      </c>
      <c r="B273" s="26">
        <v>2429.4</v>
      </c>
      <c r="C273" s="26">
        <v>2429.4</v>
      </c>
    </row>
    <row r="274" spans="1:3" x14ac:dyDescent="0.35">
      <c r="A274" s="25" t="s">
        <v>360</v>
      </c>
      <c r="B274" s="30">
        <v>5.79</v>
      </c>
      <c r="C274" s="30">
        <v>11.03</v>
      </c>
    </row>
    <row r="275" spans="1:3" x14ac:dyDescent="0.35">
      <c r="A275" s="25" t="s">
        <v>361</v>
      </c>
      <c r="B275" s="30">
        <v>5.79</v>
      </c>
      <c r="C275" s="30">
        <v>11.44</v>
      </c>
    </row>
    <row r="276" spans="1:3" x14ac:dyDescent="0.35">
      <c r="A276" s="25" t="s">
        <v>362</v>
      </c>
      <c r="B276" s="30">
        <v>8.91</v>
      </c>
      <c r="C276" s="30">
        <v>9.14</v>
      </c>
    </row>
    <row r="277" spans="1:3" x14ac:dyDescent="0.35">
      <c r="A277" s="23" t="s">
        <v>363</v>
      </c>
      <c r="B277" s="24">
        <v>14066</v>
      </c>
      <c r="C277" s="24">
        <v>26804</v>
      </c>
    </row>
    <row r="278" spans="1:3" x14ac:dyDescent="0.35">
      <c r="A278" s="23" t="s">
        <v>364</v>
      </c>
      <c r="B278" s="30">
        <v>1</v>
      </c>
      <c r="C278" s="30">
        <v>1</v>
      </c>
    </row>
    <row r="279" spans="1:3" x14ac:dyDescent="0.35">
      <c r="A279" s="25" t="s">
        <v>365</v>
      </c>
      <c r="B279" s="26">
        <v>2429.4</v>
      </c>
      <c r="C279" s="26">
        <v>2429.4</v>
      </c>
    </row>
    <row r="280" spans="1:3" x14ac:dyDescent="0.35">
      <c r="A280" s="25" t="s">
        <v>366</v>
      </c>
      <c r="B280" s="30">
        <v>5.79</v>
      </c>
      <c r="C280" s="30">
        <v>11.03</v>
      </c>
    </row>
    <row r="281" spans="1:3" x14ac:dyDescent="0.35">
      <c r="A281" s="25" t="s">
        <v>367</v>
      </c>
      <c r="B281" s="30">
        <v>5.79</v>
      </c>
      <c r="C281" s="30">
        <v>11.44</v>
      </c>
    </row>
    <row r="282" spans="1:3" x14ac:dyDescent="0.35">
      <c r="A282" s="25" t="s">
        <v>368</v>
      </c>
      <c r="B282" s="30">
        <v>8.91</v>
      </c>
      <c r="C282" s="30">
        <v>9.14</v>
      </c>
    </row>
    <row r="283" spans="1:3" x14ac:dyDescent="0.35">
      <c r="A283" s="23" t="s">
        <v>369</v>
      </c>
      <c r="B283" s="24">
        <v>0</v>
      </c>
      <c r="C283" s="32">
        <v>-0.41</v>
      </c>
    </row>
    <row r="284" spans="1:3" x14ac:dyDescent="0.35">
      <c r="A284" s="23" t="s">
        <v>370</v>
      </c>
      <c r="B284" s="30">
        <v>6.11</v>
      </c>
      <c r="C284" s="30">
        <v>9.7200000000000006</v>
      </c>
    </row>
    <row r="285" spans="1:3" x14ac:dyDescent="0.35">
      <c r="A285" s="21" t="s">
        <v>371</v>
      </c>
      <c r="B285" s="22"/>
      <c r="C285" s="22"/>
    </row>
    <row r="286" spans="1:3" x14ac:dyDescent="0.35">
      <c r="A286" s="23" t="s">
        <v>372</v>
      </c>
      <c r="B286" s="30">
        <v>4.96</v>
      </c>
      <c r="C286" s="30">
        <v>5.2</v>
      </c>
    </row>
    <row r="287" spans="1:3" x14ac:dyDescent="0.35">
      <c r="A287" s="23" t="s">
        <v>373</v>
      </c>
      <c r="B287" s="30">
        <v>4.96</v>
      </c>
      <c r="C287" s="30">
        <v>5.2</v>
      </c>
    </row>
    <row r="288" spans="1:3" x14ac:dyDescent="0.35">
      <c r="A288" s="21" t="s">
        <v>374</v>
      </c>
      <c r="B288" s="22"/>
      <c r="C288" s="22"/>
    </row>
    <row r="289" spans="1:3" x14ac:dyDescent="0.35">
      <c r="A289" s="23" t="s">
        <v>78</v>
      </c>
      <c r="B289" s="24">
        <v>23704</v>
      </c>
      <c r="C289" s="24">
        <v>27143</v>
      </c>
    </row>
    <row r="290" spans="1:3" x14ac:dyDescent="0.35">
      <c r="A290" s="23" t="s">
        <v>80</v>
      </c>
      <c r="B290" s="24">
        <v>31043</v>
      </c>
      <c r="C290" s="24">
        <v>34646</v>
      </c>
    </row>
    <row r="291" spans="1:3" x14ac:dyDescent="0.35">
      <c r="A291" s="23" t="s">
        <v>376</v>
      </c>
      <c r="B291" s="24">
        <v>31243</v>
      </c>
      <c r="C291" s="24">
        <v>34846</v>
      </c>
    </row>
    <row r="292" spans="1:3" x14ac:dyDescent="0.35">
      <c r="A292" s="21" t="s">
        <v>377</v>
      </c>
      <c r="B292" s="22"/>
      <c r="C292" s="22"/>
    </row>
    <row r="293" spans="1:3" x14ac:dyDescent="0.35">
      <c r="A293" s="23" t="s">
        <v>378</v>
      </c>
      <c r="B293" s="26">
        <v>7300</v>
      </c>
      <c r="C293" s="26">
        <v>7500</v>
      </c>
    </row>
    <row r="294" spans="1:3" x14ac:dyDescent="0.35">
      <c r="A294" s="25" t="s">
        <v>379</v>
      </c>
      <c r="B294" s="26">
        <v>2800</v>
      </c>
      <c r="C294" s="26">
        <v>2900</v>
      </c>
    </row>
    <row r="295" spans="1:3" x14ac:dyDescent="0.35">
      <c r="A295" s="25" t="s">
        <v>477</v>
      </c>
      <c r="B295" s="26">
        <v>4500</v>
      </c>
      <c r="C295" s="26">
        <v>4600</v>
      </c>
    </row>
    <row r="296" spans="1:3" x14ac:dyDescent="0.35">
      <c r="A296" s="21" t="s">
        <v>381</v>
      </c>
      <c r="B296" s="22"/>
      <c r="C296" s="22"/>
    </row>
    <row r="297" spans="1:3" x14ac:dyDescent="0.35">
      <c r="A297" s="23" t="s">
        <v>79</v>
      </c>
      <c r="B297" s="26">
        <v>7339</v>
      </c>
      <c r="C297" s="26">
        <v>7503</v>
      </c>
    </row>
    <row r="298" spans="1:3" x14ac:dyDescent="0.35">
      <c r="A298" s="25" t="s">
        <v>382</v>
      </c>
      <c r="B298" s="26">
        <v>2800</v>
      </c>
      <c r="C298" s="26">
        <v>2900</v>
      </c>
    </row>
    <row r="299" spans="1:3" x14ac:dyDescent="0.35">
      <c r="A299" s="25" t="s">
        <v>498</v>
      </c>
      <c r="B299" s="26">
        <v>4500</v>
      </c>
      <c r="C299" s="26">
        <v>4600</v>
      </c>
    </row>
    <row r="300" spans="1:3" x14ac:dyDescent="0.35">
      <c r="A300" s="21" t="s">
        <v>383</v>
      </c>
      <c r="B300" s="22"/>
      <c r="C300" s="22"/>
    </row>
    <row r="301" spans="1:3" x14ac:dyDescent="0.35">
      <c r="A301" s="23" t="s">
        <v>384</v>
      </c>
      <c r="B301" s="24">
        <v>17232</v>
      </c>
      <c r="C301" s="24">
        <v>14665</v>
      </c>
    </row>
    <row r="302" spans="1:3" x14ac:dyDescent="0.35">
      <c r="A302" s="25" t="s">
        <v>72</v>
      </c>
      <c r="B302" s="24">
        <v>17232</v>
      </c>
      <c r="C302" s="24">
        <v>14665</v>
      </c>
    </row>
    <row r="303" spans="1:3" x14ac:dyDescent="0.35">
      <c r="A303" s="21" t="s">
        <v>385</v>
      </c>
      <c r="B303" s="22"/>
      <c r="C303" s="22"/>
    </row>
    <row r="304" spans="1:3" x14ac:dyDescent="0.35">
      <c r="A304" s="23" t="s">
        <v>386</v>
      </c>
      <c r="B304" s="24"/>
      <c r="C304" s="24"/>
    </row>
    <row r="305" spans="1:3" x14ac:dyDescent="0.35">
      <c r="A305" s="25" t="s">
        <v>387</v>
      </c>
      <c r="B305" s="26">
        <v>925</v>
      </c>
      <c r="C305" s="26">
        <v>1071</v>
      </c>
    </row>
    <row r="306" spans="1:3" x14ac:dyDescent="0.35">
      <c r="A306" s="25" t="s">
        <v>388</v>
      </c>
      <c r="B306" s="26">
        <v>1176</v>
      </c>
      <c r="C306" s="26">
        <v>1354</v>
      </c>
    </row>
    <row r="307" spans="1:3" x14ac:dyDescent="0.35">
      <c r="A307" s="25" t="s">
        <v>389</v>
      </c>
      <c r="B307" s="26">
        <v>251</v>
      </c>
      <c r="C307" s="26">
        <v>283</v>
      </c>
    </row>
    <row r="308" spans="1:3" x14ac:dyDescent="0.35">
      <c r="A308" s="21" t="s">
        <v>390</v>
      </c>
      <c r="B308" s="22"/>
      <c r="C308" s="22"/>
    </row>
    <row r="309" spans="1:3" x14ac:dyDescent="0.35">
      <c r="A309" s="23" t="s">
        <v>390</v>
      </c>
      <c r="B309" s="30">
        <v>51.03</v>
      </c>
      <c r="C309" s="30">
        <v>53.86</v>
      </c>
    </row>
    <row r="310" spans="1:3" x14ac:dyDescent="0.35">
      <c r="A310" s="25" t="s">
        <v>391</v>
      </c>
      <c r="B310" s="30">
        <v>46.85</v>
      </c>
      <c r="C310" s="30">
        <v>50.83</v>
      </c>
    </row>
    <row r="311" spans="1:3" x14ac:dyDescent="0.35">
      <c r="A311" s="25" t="s">
        <v>392</v>
      </c>
      <c r="B311" s="30">
        <v>2.58</v>
      </c>
      <c r="C311" s="30">
        <v>2.36</v>
      </c>
    </row>
    <row r="312" spans="1:3" x14ac:dyDescent="0.35">
      <c r="A312" s="25" t="s">
        <v>444</v>
      </c>
      <c r="B312" s="30">
        <v>1.6</v>
      </c>
      <c r="C312" s="30">
        <v>0.68</v>
      </c>
    </row>
    <row r="313" spans="1:3" x14ac:dyDescent="0.35">
      <c r="A313" s="21" t="s">
        <v>393</v>
      </c>
      <c r="B313" s="22"/>
      <c r="C313" s="22"/>
    </row>
    <row r="314" spans="1:3" x14ac:dyDescent="0.35">
      <c r="A314" s="23" t="s">
        <v>394</v>
      </c>
      <c r="B314" s="24">
        <v>21646</v>
      </c>
      <c r="C314" s="24">
        <v>22197</v>
      </c>
    </row>
    <row r="315" spans="1:3" x14ac:dyDescent="0.35">
      <c r="A315" s="23" t="s">
        <v>395</v>
      </c>
      <c r="B315" s="24">
        <v>21646</v>
      </c>
      <c r="C315" s="24">
        <v>22197</v>
      </c>
    </row>
    <row r="316" spans="1:3" x14ac:dyDescent="0.35">
      <c r="A316" s="23" t="s">
        <v>396</v>
      </c>
      <c r="B316" s="24">
        <v>21646</v>
      </c>
      <c r="C316" s="24">
        <v>22197</v>
      </c>
    </row>
    <row r="317" spans="1:3" x14ac:dyDescent="0.35">
      <c r="A317" s="23" t="s">
        <v>397</v>
      </c>
      <c r="B317" s="24">
        <v>23690</v>
      </c>
      <c r="C317" s="24">
        <v>26889</v>
      </c>
    </row>
    <row r="318" spans="1:3" x14ac:dyDescent="0.35">
      <c r="A318" s="23" t="s">
        <v>398</v>
      </c>
      <c r="B318" s="24">
        <v>31029</v>
      </c>
      <c r="C318" s="24">
        <v>34392</v>
      </c>
    </row>
    <row r="319" spans="1:3" x14ac:dyDescent="0.35">
      <c r="A319" s="21" t="s">
        <v>82</v>
      </c>
      <c r="B319" s="22"/>
      <c r="C319" s="22"/>
    </row>
    <row r="320" spans="1:3" x14ac:dyDescent="0.35">
      <c r="A320" s="23" t="s">
        <v>405</v>
      </c>
      <c r="B320" s="26">
        <v>200</v>
      </c>
      <c r="C320" s="26">
        <v>200</v>
      </c>
    </row>
    <row r="321" spans="1:3" x14ac:dyDescent="0.35">
      <c r="A321" s="23" t="s">
        <v>582</v>
      </c>
      <c r="B321" s="26">
        <v>600</v>
      </c>
      <c r="C321" s="26">
        <v>1600</v>
      </c>
    </row>
    <row r="322" spans="1:3" x14ac:dyDescent="0.35">
      <c r="A322" s="23" t="s">
        <v>406</v>
      </c>
      <c r="B322" s="24">
        <v>27436</v>
      </c>
      <c r="C322" s="24">
        <v>30165</v>
      </c>
    </row>
    <row r="323" spans="1:3" x14ac:dyDescent="0.35">
      <c r="A323" s="23" t="s">
        <v>407</v>
      </c>
      <c r="B323" s="24">
        <v>22936</v>
      </c>
      <c r="C323" s="24">
        <v>25565</v>
      </c>
    </row>
    <row r="324" spans="1:3" x14ac:dyDescent="0.35">
      <c r="A324" s="23" t="s">
        <v>408</v>
      </c>
      <c r="B324" s="26">
        <v>755</v>
      </c>
      <c r="C324" s="26">
        <v>971</v>
      </c>
    </row>
    <row r="325" spans="1:3" x14ac:dyDescent="0.35">
      <c r="A325" s="23" t="s">
        <v>280</v>
      </c>
      <c r="B325" s="24">
        <v>65117</v>
      </c>
      <c r="C325" s="24">
        <v>67050</v>
      </c>
    </row>
    <row r="326" spans="1:3" x14ac:dyDescent="0.35">
      <c r="A326" s="23" t="s">
        <v>70</v>
      </c>
      <c r="B326" s="24">
        <v>22869</v>
      </c>
      <c r="C326" s="24">
        <v>23676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36"/>
  <sheetViews>
    <sheetView workbookViewId="0"/>
  </sheetViews>
  <sheetFormatPr defaultRowHeight="14.5" x14ac:dyDescent="0.35"/>
  <cols>
    <col min="1" max="1" width="85.7265625" style="11" customWidth="1"/>
    <col min="2" max="3" width="15.7265625" style="11" customWidth="1"/>
    <col min="4" max="16384" width="8.7265625" style="11"/>
  </cols>
  <sheetData>
    <row r="1" spans="1:3" ht="6.65" customHeight="1" x14ac:dyDescent="0.35">
      <c r="A1" s="9" t="s">
        <v>94</v>
      </c>
      <c r="B1" s="10"/>
      <c r="C1" s="10"/>
    </row>
    <row r="2" spans="1:3" ht="6.65" customHeight="1" x14ac:dyDescent="0.35">
      <c r="A2" s="12" t="s">
        <v>95</v>
      </c>
      <c r="B2" s="13" t="s">
        <v>621</v>
      </c>
    </row>
    <row r="3" spans="1:3" x14ac:dyDescent="0.35">
      <c r="A3" s="12" t="s">
        <v>97</v>
      </c>
      <c r="B3" s="12" t="s">
        <v>98</v>
      </c>
    </row>
    <row r="4" spans="1:3" x14ac:dyDescent="0.35">
      <c r="A4" s="12" t="s">
        <v>99</v>
      </c>
      <c r="B4" s="12" t="s">
        <v>98</v>
      </c>
    </row>
    <row r="5" spans="1:3" x14ac:dyDescent="0.35">
      <c r="A5" s="12" t="s">
        <v>100</v>
      </c>
      <c r="B5" s="12" t="s">
        <v>608</v>
      </c>
    </row>
    <row r="6" spans="1:3" x14ac:dyDescent="0.35">
      <c r="A6" s="12" t="s">
        <v>101</v>
      </c>
      <c r="B6" s="12" t="s">
        <v>102</v>
      </c>
    </row>
    <row r="7" spans="1:3" x14ac:dyDescent="0.35">
      <c r="A7" s="12" t="s">
        <v>103</v>
      </c>
      <c r="B7" s="12" t="s">
        <v>104</v>
      </c>
    </row>
    <row r="8" spans="1:3" x14ac:dyDescent="0.35">
      <c r="A8" s="12" t="s">
        <v>105</v>
      </c>
      <c r="B8" s="12" t="s">
        <v>106</v>
      </c>
    </row>
    <row r="9" spans="1:3" x14ac:dyDescent="0.35">
      <c r="A9" s="12" t="s">
        <v>107</v>
      </c>
      <c r="B9" s="12" t="s">
        <v>108</v>
      </c>
    </row>
    <row r="10" spans="1:3" x14ac:dyDescent="0.35">
      <c r="A10" s="12" t="s">
        <v>109</v>
      </c>
      <c r="B10" s="14">
        <v>46295.109656655099</v>
      </c>
    </row>
    <row r="11" spans="1:3" x14ac:dyDescent="0.35">
      <c r="A11" s="15" t="s">
        <v>110</v>
      </c>
      <c r="B11" s="16" t="s">
        <v>111</v>
      </c>
      <c r="C11" s="16" t="s">
        <v>112</v>
      </c>
    </row>
    <row r="12" spans="1:3" ht="6.65" customHeight="1" x14ac:dyDescent="0.35">
      <c r="A12" s="17" t="s">
        <v>113</v>
      </c>
      <c r="B12" s="18">
        <v>45657</v>
      </c>
      <c r="C12" s="18">
        <v>46022</v>
      </c>
    </row>
    <row r="13" spans="1:3" ht="6.65" customHeight="1" x14ac:dyDescent="0.35">
      <c r="A13" s="17" t="s">
        <v>114</v>
      </c>
      <c r="B13" s="18" t="s">
        <v>115</v>
      </c>
      <c r="C13" s="18" t="s">
        <v>115</v>
      </c>
    </row>
    <row r="14" spans="1:3" x14ac:dyDescent="0.35">
      <c r="A14" s="19" t="s">
        <v>116</v>
      </c>
      <c r="B14" s="15"/>
      <c r="C14" s="15"/>
    </row>
    <row r="15" spans="1:3" x14ac:dyDescent="0.35">
      <c r="A15" s="19" t="s">
        <v>117</v>
      </c>
      <c r="B15" s="20" t="s">
        <v>118</v>
      </c>
      <c r="C15" s="20" t="s">
        <v>119</v>
      </c>
    </row>
    <row r="16" spans="1:3" ht="6.65" customHeight="1" x14ac:dyDescent="0.35">
      <c r="A16" s="21" t="s">
        <v>120</v>
      </c>
      <c r="B16" s="22"/>
      <c r="C16" s="22"/>
    </row>
    <row r="17" spans="1:3" ht="6.65" customHeight="1" x14ac:dyDescent="0.35">
      <c r="A17" s="23" t="s">
        <v>121</v>
      </c>
      <c r="B17" s="24">
        <v>13689</v>
      </c>
      <c r="C17" s="24">
        <v>14565</v>
      </c>
    </row>
    <row r="18" spans="1:3" ht="6.65" customHeight="1" x14ac:dyDescent="0.35">
      <c r="A18" s="25" t="s">
        <v>12</v>
      </c>
      <c r="B18" s="24">
        <v>13242</v>
      </c>
      <c r="C18" s="24">
        <v>14565</v>
      </c>
    </row>
    <row r="19" spans="1:3" ht="6.65" customHeight="1" x14ac:dyDescent="0.35">
      <c r="A19" s="25" t="s">
        <v>14</v>
      </c>
      <c r="B19" s="26">
        <v>447</v>
      </c>
      <c r="C19" s="24">
        <v>0</v>
      </c>
    </row>
    <row r="20" spans="1:3" ht="6.65" customHeight="1" x14ac:dyDescent="0.35">
      <c r="A20" s="23" t="s">
        <v>122</v>
      </c>
      <c r="B20" s="24">
        <v>11119</v>
      </c>
      <c r="C20" s="24">
        <v>12691</v>
      </c>
    </row>
    <row r="21" spans="1:3" ht="6.65" customHeight="1" x14ac:dyDescent="0.35">
      <c r="A21" s="25" t="s">
        <v>16</v>
      </c>
      <c r="B21" s="24">
        <v>10278</v>
      </c>
      <c r="C21" s="24">
        <v>11775</v>
      </c>
    </row>
    <row r="22" spans="1:3" ht="6.65" customHeight="1" x14ac:dyDescent="0.35">
      <c r="A22" s="25" t="s">
        <v>123</v>
      </c>
      <c r="B22" s="24">
        <v>10367</v>
      </c>
      <c r="C22" s="24">
        <v>11872</v>
      </c>
    </row>
    <row r="23" spans="1:3" ht="6.65" customHeight="1" x14ac:dyDescent="0.35">
      <c r="A23" s="25" t="s">
        <v>124</v>
      </c>
      <c r="B23" s="30">
        <v>89</v>
      </c>
      <c r="C23" s="30">
        <v>97</v>
      </c>
    </row>
    <row r="24" spans="1:3" ht="6.65" customHeight="1" x14ac:dyDescent="0.35">
      <c r="A24" s="25" t="s">
        <v>455</v>
      </c>
      <c r="B24" s="26">
        <v>841</v>
      </c>
      <c r="C24" s="26">
        <v>916</v>
      </c>
    </row>
    <row r="25" spans="1:3" ht="6.65" customHeight="1" x14ac:dyDescent="0.35">
      <c r="A25" s="23" t="s">
        <v>18</v>
      </c>
      <c r="B25" s="26">
        <v>6109</v>
      </c>
      <c r="C25" s="26">
        <v>6658</v>
      </c>
    </row>
    <row r="26" spans="1:3" ht="6.65" customHeight="1" x14ac:dyDescent="0.35">
      <c r="A26" s="25" t="s">
        <v>125</v>
      </c>
      <c r="B26" s="26">
        <v>8831</v>
      </c>
      <c r="C26" s="24">
        <v>10645</v>
      </c>
    </row>
    <row r="27" spans="1:3" ht="6.65" customHeight="1" x14ac:dyDescent="0.35">
      <c r="A27" s="25" t="s">
        <v>126</v>
      </c>
      <c r="B27" s="26">
        <v>2022</v>
      </c>
      <c r="C27" s="26">
        <v>2275</v>
      </c>
    </row>
    <row r="28" spans="1:3" ht="6.65" customHeight="1" x14ac:dyDescent="0.35">
      <c r="A28" s="25" t="s">
        <v>456</v>
      </c>
      <c r="B28" s="31">
        <v>-4744</v>
      </c>
      <c r="C28" s="31">
        <v>-6262</v>
      </c>
    </row>
    <row r="29" spans="1:3" ht="6.65" customHeight="1" x14ac:dyDescent="0.35">
      <c r="A29" s="25" t="s">
        <v>609</v>
      </c>
      <c r="B29" s="31">
        <v>-840</v>
      </c>
      <c r="C29" s="31">
        <v>-912</v>
      </c>
    </row>
    <row r="30" spans="1:3" ht="6.65" customHeight="1" x14ac:dyDescent="0.35">
      <c r="A30" s="23" t="s">
        <v>410</v>
      </c>
      <c r="B30" s="26">
        <v>7865</v>
      </c>
      <c r="C30" s="26">
        <v>9602</v>
      </c>
    </row>
    <row r="31" spans="1:3" ht="6.65" customHeight="1" x14ac:dyDescent="0.35">
      <c r="A31" s="25" t="s">
        <v>411</v>
      </c>
      <c r="B31" s="30">
        <v>76</v>
      </c>
      <c r="C31" s="30">
        <v>76</v>
      </c>
    </row>
    <row r="32" spans="1:3" ht="6.65" customHeight="1" x14ac:dyDescent="0.35">
      <c r="A32" s="25" t="s">
        <v>20</v>
      </c>
      <c r="B32" s="26">
        <v>7789</v>
      </c>
      <c r="C32" s="26">
        <v>9526</v>
      </c>
    </row>
    <row r="33" spans="1:3" ht="6.65" customHeight="1" x14ac:dyDescent="0.35">
      <c r="A33" s="27" t="s">
        <v>22</v>
      </c>
      <c r="B33" s="28">
        <v>38782</v>
      </c>
      <c r="C33" s="28">
        <v>43516</v>
      </c>
    </row>
    <row r="34" spans="1:3" ht="6.65" customHeight="1" x14ac:dyDescent="0.35">
      <c r="A34" s="21" t="s">
        <v>128</v>
      </c>
      <c r="B34" s="22"/>
      <c r="C34" s="22"/>
    </row>
    <row r="35" spans="1:3" ht="6.65" customHeight="1" x14ac:dyDescent="0.35">
      <c r="A35" s="23" t="s">
        <v>25</v>
      </c>
      <c r="B35" s="26">
        <v>1326</v>
      </c>
      <c r="C35" s="26">
        <v>1787</v>
      </c>
    </row>
    <row r="36" spans="1:3" ht="6.65" customHeight="1" x14ac:dyDescent="0.35">
      <c r="A36" s="25" t="s">
        <v>129</v>
      </c>
      <c r="B36" s="26">
        <v>1326</v>
      </c>
      <c r="C36" s="26">
        <v>1787</v>
      </c>
    </row>
    <row r="37" spans="1:3" ht="6.65" customHeight="1" x14ac:dyDescent="0.35">
      <c r="A37" s="23" t="s">
        <v>130</v>
      </c>
      <c r="B37" s="26">
        <v>267</v>
      </c>
      <c r="C37" s="26">
        <v>224</v>
      </c>
    </row>
    <row r="38" spans="1:3" ht="6.65" customHeight="1" x14ac:dyDescent="0.35">
      <c r="A38" s="23" t="s">
        <v>131</v>
      </c>
      <c r="B38" s="24"/>
      <c r="C38" s="26">
        <v>125</v>
      </c>
    </row>
    <row r="39" spans="1:3" ht="6.65" customHeight="1" x14ac:dyDescent="0.35">
      <c r="A39" s="25" t="s">
        <v>457</v>
      </c>
      <c r="B39" s="24"/>
      <c r="C39" s="26">
        <v>125</v>
      </c>
    </row>
    <row r="40" spans="1:3" ht="6.65" customHeight="1" x14ac:dyDescent="0.35">
      <c r="A40" s="23" t="s">
        <v>27</v>
      </c>
      <c r="B40" s="24">
        <v>25149</v>
      </c>
      <c r="C40" s="24">
        <v>26823</v>
      </c>
    </row>
    <row r="41" spans="1:3" ht="6.65" customHeight="1" x14ac:dyDescent="0.35">
      <c r="A41" s="25" t="s">
        <v>133</v>
      </c>
      <c r="B41" s="24">
        <v>25149</v>
      </c>
      <c r="C41" s="24">
        <v>26823</v>
      </c>
    </row>
    <row r="42" spans="1:3" ht="6.65" customHeight="1" x14ac:dyDescent="0.35">
      <c r="A42" s="25" t="s">
        <v>134</v>
      </c>
      <c r="B42" s="24">
        <v>44304</v>
      </c>
      <c r="C42" s="24">
        <v>48737</v>
      </c>
    </row>
    <row r="43" spans="1:3" ht="6.65" customHeight="1" x14ac:dyDescent="0.35">
      <c r="A43" s="25" t="s">
        <v>135</v>
      </c>
      <c r="B43" s="24">
        <v>44304</v>
      </c>
      <c r="C43" s="24">
        <v>48737</v>
      </c>
    </row>
    <row r="44" spans="1:3" ht="6.65" customHeight="1" x14ac:dyDescent="0.35">
      <c r="A44" s="25" t="s">
        <v>458</v>
      </c>
      <c r="B44" s="24">
        <v>16667</v>
      </c>
      <c r="C44" s="24">
        <v>18304</v>
      </c>
    </row>
    <row r="45" spans="1:3" ht="6.65" customHeight="1" x14ac:dyDescent="0.35">
      <c r="A45" s="25" t="s">
        <v>459</v>
      </c>
      <c r="B45" s="26">
        <v>307</v>
      </c>
      <c r="C45" s="26">
        <v>321</v>
      </c>
    </row>
    <row r="46" spans="1:3" ht="6.65" customHeight="1" x14ac:dyDescent="0.35">
      <c r="A46" s="25" t="s">
        <v>460</v>
      </c>
      <c r="B46" s="24">
        <v>16360</v>
      </c>
      <c r="C46" s="24">
        <v>17983</v>
      </c>
    </row>
    <row r="47" spans="1:3" ht="6.65" customHeight="1" x14ac:dyDescent="0.35">
      <c r="A47" s="25" t="s">
        <v>447</v>
      </c>
      <c r="B47" s="24">
        <v>18283</v>
      </c>
      <c r="C47" s="24">
        <v>19760</v>
      </c>
    </row>
    <row r="48" spans="1:3" ht="6.65" customHeight="1" x14ac:dyDescent="0.35">
      <c r="A48" s="25" t="s">
        <v>462</v>
      </c>
      <c r="B48" s="26">
        <v>7984</v>
      </c>
      <c r="C48" s="26">
        <v>9166</v>
      </c>
    </row>
    <row r="49" spans="1:3" ht="6.65" customHeight="1" x14ac:dyDescent="0.35">
      <c r="A49" s="25" t="s">
        <v>136</v>
      </c>
      <c r="B49" s="26">
        <v>1370</v>
      </c>
      <c r="C49" s="26">
        <v>1507</v>
      </c>
    </row>
    <row r="50" spans="1:3" ht="6.65" customHeight="1" x14ac:dyDescent="0.35">
      <c r="A50" s="25" t="s">
        <v>137</v>
      </c>
      <c r="B50" s="26">
        <v>1370</v>
      </c>
      <c r="C50" s="26">
        <v>1507</v>
      </c>
    </row>
    <row r="51" spans="1:3" ht="6.65" customHeight="1" x14ac:dyDescent="0.35">
      <c r="A51" s="25" t="s">
        <v>139</v>
      </c>
      <c r="B51" s="24">
        <v>19155</v>
      </c>
      <c r="C51" s="24">
        <v>21914</v>
      </c>
    </row>
    <row r="52" spans="1:3" ht="6.65" customHeight="1" x14ac:dyDescent="0.35">
      <c r="A52" s="25" t="s">
        <v>140</v>
      </c>
      <c r="B52" s="24">
        <v>19155</v>
      </c>
      <c r="C52" s="24">
        <v>21914</v>
      </c>
    </row>
    <row r="53" spans="1:3" ht="6.65" customHeight="1" x14ac:dyDescent="0.35">
      <c r="A53" s="23" t="s">
        <v>141</v>
      </c>
      <c r="B53" s="24">
        <v>13544</v>
      </c>
      <c r="C53" s="24">
        <v>16131</v>
      </c>
    </row>
    <row r="54" spans="1:3" ht="6.65" customHeight="1" x14ac:dyDescent="0.35">
      <c r="A54" s="25" t="s">
        <v>31</v>
      </c>
      <c r="B54" s="24">
        <v>13544</v>
      </c>
      <c r="C54" s="24">
        <v>16131</v>
      </c>
    </row>
    <row r="55" spans="1:3" ht="6.65" customHeight="1" x14ac:dyDescent="0.35">
      <c r="A55" s="23" t="s">
        <v>29</v>
      </c>
      <c r="B55" s="24">
        <v>38038</v>
      </c>
      <c r="C55" s="24">
        <v>48260</v>
      </c>
    </row>
    <row r="56" spans="1:3" ht="6.65" customHeight="1" x14ac:dyDescent="0.35">
      <c r="A56" s="25" t="s">
        <v>421</v>
      </c>
      <c r="B56" s="24">
        <v>21668</v>
      </c>
      <c r="C56" s="24">
        <v>21579</v>
      </c>
    </row>
    <row r="57" spans="1:3" ht="6.65" customHeight="1" x14ac:dyDescent="0.35">
      <c r="A57" s="25" t="s">
        <v>464</v>
      </c>
      <c r="B57" s="24">
        <v>16370</v>
      </c>
      <c r="C57" s="24">
        <v>26681</v>
      </c>
    </row>
    <row r="58" spans="1:3" ht="6.65" customHeight="1" x14ac:dyDescent="0.35">
      <c r="A58" s="25" t="s">
        <v>544</v>
      </c>
      <c r="B58" s="26">
        <v>430</v>
      </c>
      <c r="C58" s="26">
        <v>427</v>
      </c>
    </row>
    <row r="59" spans="1:3" ht="6.65" customHeight="1" x14ac:dyDescent="0.35">
      <c r="A59" s="25" t="s">
        <v>490</v>
      </c>
      <c r="B59" s="24">
        <v>12849</v>
      </c>
      <c r="C59" s="24">
        <v>23051</v>
      </c>
    </row>
    <row r="60" spans="1:3" ht="6.65" customHeight="1" x14ac:dyDescent="0.35">
      <c r="A60" s="25" t="s">
        <v>545</v>
      </c>
      <c r="B60" s="26">
        <v>3091</v>
      </c>
      <c r="C60" s="26">
        <v>3203</v>
      </c>
    </row>
    <row r="61" spans="1:3" ht="6.65" customHeight="1" x14ac:dyDescent="0.35">
      <c r="A61" s="27" t="s">
        <v>33</v>
      </c>
      <c r="B61" s="28">
        <v>78324</v>
      </c>
      <c r="C61" s="28">
        <v>93350</v>
      </c>
    </row>
    <row r="62" spans="1:3" ht="6.65" customHeight="1" x14ac:dyDescent="0.35">
      <c r="A62" s="21" t="s">
        <v>35</v>
      </c>
      <c r="B62" s="22"/>
      <c r="C62" s="22"/>
    </row>
    <row r="63" spans="1:3" ht="6.65" customHeight="1" x14ac:dyDescent="0.35">
      <c r="A63" s="27" t="s">
        <v>35</v>
      </c>
      <c r="B63" s="28">
        <v>117106</v>
      </c>
      <c r="C63" s="28">
        <v>136866</v>
      </c>
    </row>
    <row r="64" spans="1:3" ht="6.65" customHeight="1" x14ac:dyDescent="0.35">
      <c r="A64" s="21" t="s">
        <v>143</v>
      </c>
      <c r="B64" s="22"/>
      <c r="C64" s="22"/>
    </row>
    <row r="65" spans="1:3" ht="6.65" customHeight="1" x14ac:dyDescent="0.35">
      <c r="A65" s="23" t="s">
        <v>144</v>
      </c>
      <c r="B65" s="24">
        <v>18628</v>
      </c>
      <c r="C65" s="24">
        <v>18467</v>
      </c>
    </row>
    <row r="66" spans="1:3" ht="6.65" customHeight="1" x14ac:dyDescent="0.35">
      <c r="A66" s="25" t="s">
        <v>37</v>
      </c>
      <c r="B66" s="26">
        <v>4079</v>
      </c>
      <c r="C66" s="26">
        <v>4404</v>
      </c>
    </row>
    <row r="67" spans="1:3" ht="6.65" customHeight="1" x14ac:dyDescent="0.35">
      <c r="A67" s="25" t="s">
        <v>145</v>
      </c>
      <c r="B67" s="24">
        <v>14549</v>
      </c>
      <c r="C67" s="24">
        <v>14063</v>
      </c>
    </row>
    <row r="68" spans="1:3" ht="6.65" customHeight="1" x14ac:dyDescent="0.35">
      <c r="A68" s="23" t="s">
        <v>39</v>
      </c>
      <c r="B68" s="26">
        <v>2649</v>
      </c>
      <c r="C68" s="26">
        <v>2589</v>
      </c>
    </row>
    <row r="69" spans="1:3" ht="6.65" customHeight="1" x14ac:dyDescent="0.35">
      <c r="A69" s="25" t="s">
        <v>146</v>
      </c>
      <c r="B69" s="26">
        <v>2649</v>
      </c>
      <c r="C69" s="26">
        <v>2589</v>
      </c>
    </row>
    <row r="70" spans="1:3" ht="6.65" customHeight="1" x14ac:dyDescent="0.35">
      <c r="A70" s="25" t="s">
        <v>147</v>
      </c>
      <c r="B70" s="26">
        <v>2649</v>
      </c>
      <c r="C70" s="26">
        <v>2589</v>
      </c>
    </row>
    <row r="71" spans="1:3" ht="6.65" customHeight="1" x14ac:dyDescent="0.35">
      <c r="A71" s="23" t="s">
        <v>149</v>
      </c>
      <c r="B71" s="26">
        <v>3914</v>
      </c>
      <c r="C71" s="26">
        <v>4726</v>
      </c>
    </row>
    <row r="72" spans="1:3" ht="6.65" customHeight="1" x14ac:dyDescent="0.35">
      <c r="A72" s="23" t="s">
        <v>610</v>
      </c>
      <c r="B72" s="26">
        <v>2084</v>
      </c>
      <c r="C72" s="26">
        <v>2140</v>
      </c>
    </row>
    <row r="73" spans="1:3" ht="6.65" customHeight="1" x14ac:dyDescent="0.35">
      <c r="A73" s="23" t="s">
        <v>150</v>
      </c>
      <c r="B73" s="26">
        <v>282</v>
      </c>
      <c r="C73" s="26">
        <v>294</v>
      </c>
    </row>
    <row r="74" spans="1:3" ht="6.65" customHeight="1" x14ac:dyDescent="0.35">
      <c r="A74" s="23" t="s">
        <v>423</v>
      </c>
      <c r="B74" s="26">
        <v>863</v>
      </c>
      <c r="C74" s="26">
        <v>111</v>
      </c>
    </row>
    <row r="75" spans="1:3" ht="6.65" customHeight="1" x14ac:dyDescent="0.35">
      <c r="A75" s="25" t="s">
        <v>41</v>
      </c>
      <c r="B75" s="26">
        <v>863</v>
      </c>
      <c r="C75" s="26">
        <v>111</v>
      </c>
    </row>
    <row r="76" spans="1:3" ht="6.65" customHeight="1" x14ac:dyDescent="0.35">
      <c r="A76" s="27" t="s">
        <v>43</v>
      </c>
      <c r="B76" s="28">
        <v>28420</v>
      </c>
      <c r="C76" s="28">
        <v>28327</v>
      </c>
    </row>
    <row r="77" spans="1:3" ht="6.65" customHeight="1" x14ac:dyDescent="0.35">
      <c r="A77" s="21" t="s">
        <v>151</v>
      </c>
      <c r="B77" s="22"/>
      <c r="C77" s="22"/>
    </row>
    <row r="78" spans="1:3" ht="6.65" customHeight="1" x14ac:dyDescent="0.35">
      <c r="A78" s="23" t="s">
        <v>45</v>
      </c>
      <c r="B78" s="24">
        <v>34462</v>
      </c>
      <c r="C78" s="24">
        <v>46750</v>
      </c>
    </row>
    <row r="79" spans="1:3" ht="6.65" customHeight="1" x14ac:dyDescent="0.35">
      <c r="A79" s="25" t="s">
        <v>152</v>
      </c>
      <c r="B79" s="24">
        <v>34462</v>
      </c>
      <c r="C79" s="24">
        <v>46750</v>
      </c>
    </row>
    <row r="80" spans="1:3" ht="6.65" customHeight="1" x14ac:dyDescent="0.35">
      <c r="A80" s="25" t="s">
        <v>153</v>
      </c>
      <c r="B80" s="24">
        <v>34462</v>
      </c>
      <c r="C80" s="24">
        <v>46750</v>
      </c>
    </row>
    <row r="81" spans="1:3" ht="6.65" customHeight="1" x14ac:dyDescent="0.35">
      <c r="A81" s="23" t="s">
        <v>155</v>
      </c>
      <c r="B81" s="26">
        <v>1387</v>
      </c>
      <c r="C81" s="26">
        <v>1439</v>
      </c>
    </row>
    <row r="82" spans="1:3" ht="6.65" customHeight="1" x14ac:dyDescent="0.35">
      <c r="A82" s="25" t="s">
        <v>156</v>
      </c>
      <c r="B82" s="26">
        <v>1387</v>
      </c>
      <c r="C82" s="26">
        <v>1439</v>
      </c>
    </row>
    <row r="83" spans="1:3" ht="6.65" customHeight="1" x14ac:dyDescent="0.35">
      <c r="A83" s="23" t="s">
        <v>157</v>
      </c>
      <c r="B83" s="26">
        <v>877</v>
      </c>
      <c r="C83" s="26">
        <v>901</v>
      </c>
    </row>
    <row r="84" spans="1:3" ht="6.65" customHeight="1" x14ac:dyDescent="0.35">
      <c r="A84" s="23" t="s">
        <v>158</v>
      </c>
      <c r="B84" s="26">
        <v>5588</v>
      </c>
      <c r="C84" s="26">
        <v>6787</v>
      </c>
    </row>
    <row r="85" spans="1:3" ht="6.65" customHeight="1" x14ac:dyDescent="0.35">
      <c r="A85" s="25" t="s">
        <v>47</v>
      </c>
      <c r="B85" s="26">
        <v>5588</v>
      </c>
      <c r="C85" s="26">
        <v>6787</v>
      </c>
    </row>
    <row r="86" spans="1:3" ht="6.65" customHeight="1" x14ac:dyDescent="0.35">
      <c r="A86" s="23" t="s">
        <v>49</v>
      </c>
      <c r="B86" s="24">
        <v>42314</v>
      </c>
      <c r="C86" s="24">
        <v>55877</v>
      </c>
    </row>
    <row r="87" spans="1:3" ht="6.65" customHeight="1" x14ac:dyDescent="0.35">
      <c r="A87" s="21" t="s">
        <v>51</v>
      </c>
      <c r="B87" s="22"/>
      <c r="C87" s="22"/>
    </row>
    <row r="88" spans="1:3" ht="6.65" customHeight="1" x14ac:dyDescent="0.35">
      <c r="A88" s="27" t="s">
        <v>51</v>
      </c>
      <c r="B88" s="28">
        <v>70734</v>
      </c>
      <c r="C88" s="28">
        <v>84204</v>
      </c>
    </row>
    <row r="89" spans="1:3" ht="6.65" customHeight="1" x14ac:dyDescent="0.35">
      <c r="A89" s="21" t="s">
        <v>162</v>
      </c>
      <c r="B89" s="22"/>
      <c r="C89" s="22"/>
    </row>
    <row r="90" spans="1:3" ht="6.65" customHeight="1" x14ac:dyDescent="0.35">
      <c r="A90" s="23" t="s">
        <v>163</v>
      </c>
      <c r="B90" s="24">
        <v>46313</v>
      </c>
      <c r="C90" s="24">
        <v>52606</v>
      </c>
    </row>
    <row r="91" spans="1:3" ht="6.65" customHeight="1" x14ac:dyDescent="0.35">
      <c r="A91" s="25" t="s">
        <v>164</v>
      </c>
      <c r="B91" s="24">
        <v>46313</v>
      </c>
      <c r="C91" s="24">
        <v>52606</v>
      </c>
    </row>
    <row r="92" spans="1:3" ht="6.65" customHeight="1" x14ac:dyDescent="0.35">
      <c r="A92" s="25" t="s">
        <v>165</v>
      </c>
      <c r="B92" s="24">
        <v>58303</v>
      </c>
      <c r="C92" s="24">
        <v>62999</v>
      </c>
    </row>
    <row r="93" spans="1:3" ht="6.65" customHeight="1" x14ac:dyDescent="0.35">
      <c r="A93" s="25" t="s">
        <v>166</v>
      </c>
      <c r="B93" s="24">
        <v>46492</v>
      </c>
      <c r="C93" s="24">
        <v>46817</v>
      </c>
    </row>
    <row r="94" spans="1:3" ht="6.65" customHeight="1" x14ac:dyDescent="0.35">
      <c r="A94" s="25" t="s">
        <v>167</v>
      </c>
      <c r="B94" s="26">
        <v>1788</v>
      </c>
      <c r="C94" s="26">
        <v>1788</v>
      </c>
    </row>
    <row r="95" spans="1:3" ht="6.65" customHeight="1" x14ac:dyDescent="0.35">
      <c r="A95" s="25" t="s">
        <v>168</v>
      </c>
      <c r="B95" s="24">
        <v>44704</v>
      </c>
      <c r="C95" s="24">
        <v>45029</v>
      </c>
    </row>
    <row r="96" spans="1:3" ht="6.65" customHeight="1" x14ac:dyDescent="0.35">
      <c r="A96" s="25" t="s">
        <v>169</v>
      </c>
      <c r="B96" s="24">
        <v>58124</v>
      </c>
      <c r="C96" s="24">
        <v>68788</v>
      </c>
    </row>
    <row r="97" spans="1:3" ht="6.65" customHeight="1" x14ac:dyDescent="0.35">
      <c r="A97" s="25" t="s">
        <v>170</v>
      </c>
      <c r="B97" s="24">
        <v>63069</v>
      </c>
      <c r="C97" s="24">
        <v>73075</v>
      </c>
    </row>
    <row r="98" spans="1:3" ht="6.65" customHeight="1" x14ac:dyDescent="0.35">
      <c r="A98" s="25" t="s">
        <v>171</v>
      </c>
      <c r="B98" s="31">
        <v>-4945</v>
      </c>
      <c r="C98" s="31">
        <v>-4287</v>
      </c>
    </row>
    <row r="99" spans="1:3" ht="6.65" customHeight="1" x14ac:dyDescent="0.35">
      <c r="A99" s="25" t="s">
        <v>173</v>
      </c>
      <c r="B99" s="26">
        <v>242</v>
      </c>
      <c r="C99" s="31">
        <v>-105</v>
      </c>
    </row>
    <row r="100" spans="1:3" ht="6.65" customHeight="1" x14ac:dyDescent="0.35">
      <c r="A100" s="25" t="s">
        <v>174</v>
      </c>
      <c r="B100" s="31">
        <v>-2860</v>
      </c>
      <c r="C100" s="31">
        <v>-2683</v>
      </c>
    </row>
    <row r="101" spans="1:3" ht="6.65" customHeight="1" x14ac:dyDescent="0.35">
      <c r="A101" s="25" t="s">
        <v>175</v>
      </c>
      <c r="B101" s="31">
        <v>-2327</v>
      </c>
      <c r="C101" s="31">
        <v>-1499</v>
      </c>
    </row>
    <row r="102" spans="1:3" ht="6.65" customHeight="1" x14ac:dyDescent="0.35">
      <c r="A102" s="25" t="s">
        <v>53</v>
      </c>
      <c r="B102" s="24">
        <v>46313</v>
      </c>
      <c r="C102" s="24">
        <v>52606</v>
      </c>
    </row>
    <row r="103" spans="1:3" ht="6.65" customHeight="1" x14ac:dyDescent="0.35">
      <c r="A103" s="23" t="s">
        <v>428</v>
      </c>
      <c r="B103" s="30">
        <v>59</v>
      </c>
      <c r="C103" s="30">
        <v>56</v>
      </c>
    </row>
    <row r="104" spans="1:3" ht="6.65" customHeight="1" x14ac:dyDescent="0.35">
      <c r="A104" s="21" t="s">
        <v>176</v>
      </c>
      <c r="B104" s="22"/>
      <c r="C104" s="22"/>
    </row>
    <row r="105" spans="1:3" ht="6.65" customHeight="1" x14ac:dyDescent="0.35">
      <c r="A105" s="27" t="s">
        <v>57</v>
      </c>
      <c r="B105" s="28">
        <v>46372</v>
      </c>
      <c r="C105" s="28">
        <v>52662</v>
      </c>
    </row>
    <row r="106" spans="1:3" ht="6.65" customHeight="1" x14ac:dyDescent="0.35">
      <c r="A106" s="21" t="s">
        <v>177</v>
      </c>
      <c r="B106" s="22"/>
      <c r="C106" s="22"/>
    </row>
    <row r="107" spans="1:3" ht="6.65" customHeight="1" x14ac:dyDescent="0.35">
      <c r="A107" s="27" t="s">
        <v>60</v>
      </c>
      <c r="B107" s="28">
        <v>117106</v>
      </c>
      <c r="C107" s="28">
        <v>136866</v>
      </c>
    </row>
    <row r="108" spans="1:3" ht="6.65" customHeight="1" x14ac:dyDescent="0.35">
      <c r="A108" s="21" t="s">
        <v>178</v>
      </c>
      <c r="B108" s="22"/>
      <c r="C108" s="22"/>
    </row>
    <row r="109" spans="1:3" ht="6.65" customHeight="1" x14ac:dyDescent="0.35">
      <c r="A109" s="23" t="s">
        <v>179</v>
      </c>
      <c r="B109" s="26">
        <v>3577.1</v>
      </c>
      <c r="C109" s="26">
        <v>3577.1</v>
      </c>
    </row>
    <row r="110" spans="1:3" ht="6.65" customHeight="1" x14ac:dyDescent="0.35">
      <c r="A110" s="25" t="s">
        <v>180</v>
      </c>
      <c r="B110" s="26">
        <v>2527.64</v>
      </c>
      <c r="C110" s="26">
        <v>2474.63</v>
      </c>
    </row>
    <row r="111" spans="1:3" ht="6.65" customHeight="1" x14ac:dyDescent="0.35">
      <c r="A111" s="25" t="s">
        <v>181</v>
      </c>
      <c r="B111" s="26">
        <v>1049.47</v>
      </c>
      <c r="C111" s="26">
        <v>1102.48</v>
      </c>
    </row>
    <row r="112" spans="1:3" ht="6.65" customHeight="1" x14ac:dyDescent="0.35">
      <c r="A112" s="23" t="s">
        <v>182</v>
      </c>
      <c r="B112" s="26">
        <v>6500</v>
      </c>
      <c r="C112" s="26">
        <v>6500</v>
      </c>
    </row>
    <row r="113" spans="1:3" ht="6.65" customHeight="1" x14ac:dyDescent="0.35">
      <c r="A113" s="23" t="s">
        <v>183</v>
      </c>
      <c r="B113" s="26">
        <v>3577.1</v>
      </c>
      <c r="C113" s="26">
        <v>3577.1</v>
      </c>
    </row>
    <row r="114" spans="1:3" ht="6.65" customHeight="1" x14ac:dyDescent="0.35">
      <c r="A114" s="25" t="s">
        <v>184</v>
      </c>
      <c r="B114" s="26">
        <v>2527.64</v>
      </c>
      <c r="C114" s="26">
        <v>2474.63</v>
      </c>
    </row>
    <row r="115" spans="1:3" ht="6.65" customHeight="1" x14ac:dyDescent="0.35">
      <c r="A115" s="25" t="s">
        <v>185</v>
      </c>
      <c r="B115" s="26">
        <v>1049.47</v>
      </c>
      <c r="C115" s="26">
        <v>1102.48</v>
      </c>
    </row>
    <row r="116" spans="1:3" ht="6.65" customHeight="1" x14ac:dyDescent="0.35">
      <c r="A116" s="21" t="s">
        <v>186</v>
      </c>
      <c r="B116" s="22"/>
      <c r="C116" s="22"/>
    </row>
    <row r="117" spans="1:3" ht="6.65" customHeight="1" x14ac:dyDescent="0.35">
      <c r="A117" s="23" t="s">
        <v>187</v>
      </c>
      <c r="B117" s="30">
        <v>1</v>
      </c>
      <c r="C117" s="30">
        <v>1</v>
      </c>
    </row>
    <row r="118" spans="1:3" ht="6.65" customHeight="1" x14ac:dyDescent="0.35">
      <c r="A118" s="21" t="s">
        <v>188</v>
      </c>
      <c r="B118" s="22"/>
      <c r="C118" s="22"/>
    </row>
    <row r="119" spans="1:3" ht="6.65" customHeight="1" x14ac:dyDescent="0.35">
      <c r="A119" s="23" t="s">
        <v>189</v>
      </c>
      <c r="B119" s="26">
        <v>1370</v>
      </c>
      <c r="C119" s="26">
        <v>1507</v>
      </c>
    </row>
    <row r="120" spans="1:3" ht="6.65" customHeight="1" x14ac:dyDescent="0.35">
      <c r="A120" s="25" t="s">
        <v>190</v>
      </c>
      <c r="B120" s="26">
        <v>1370</v>
      </c>
      <c r="C120" s="26">
        <v>1507</v>
      </c>
    </row>
    <row r="121" spans="1:3" ht="6.65" customHeight="1" x14ac:dyDescent="0.35">
      <c r="A121" s="23" t="s">
        <v>192</v>
      </c>
      <c r="B121" s="24">
        <v>23779</v>
      </c>
      <c r="C121" s="24">
        <v>25316</v>
      </c>
    </row>
    <row r="122" spans="1:3" ht="6.65" customHeight="1" x14ac:dyDescent="0.35">
      <c r="A122" s="21" t="s">
        <v>193</v>
      </c>
      <c r="B122" s="22"/>
      <c r="C122" s="22"/>
    </row>
    <row r="123" spans="1:3" ht="6.65" customHeight="1" x14ac:dyDescent="0.35">
      <c r="A123" s="23" t="s">
        <v>194</v>
      </c>
      <c r="B123" s="26">
        <v>1159</v>
      </c>
      <c r="C123" s="26">
        <v>1195</v>
      </c>
    </row>
    <row r="124" spans="1:3" ht="6.65" customHeight="1" x14ac:dyDescent="0.35">
      <c r="A124" s="25" t="s">
        <v>195</v>
      </c>
      <c r="B124" s="26">
        <v>282</v>
      </c>
      <c r="C124" s="26">
        <v>294</v>
      </c>
    </row>
    <row r="125" spans="1:3" ht="6.65" customHeight="1" x14ac:dyDescent="0.35">
      <c r="A125" s="25" t="s">
        <v>196</v>
      </c>
      <c r="B125" s="26">
        <v>877</v>
      </c>
      <c r="C125" s="26">
        <v>901</v>
      </c>
    </row>
    <row r="126" spans="1:3" ht="6.65" customHeight="1" x14ac:dyDescent="0.35">
      <c r="A126" s="23" t="s">
        <v>197</v>
      </c>
      <c r="B126" s="26">
        <v>1159</v>
      </c>
      <c r="C126" s="26">
        <v>1195</v>
      </c>
    </row>
    <row r="127" spans="1:3" ht="6.65" customHeight="1" x14ac:dyDescent="0.35">
      <c r="A127" s="23" t="s">
        <v>198</v>
      </c>
      <c r="B127" s="24">
        <v>38270</v>
      </c>
      <c r="C127" s="24">
        <v>50534</v>
      </c>
    </row>
    <row r="128" spans="1:3" ht="6.65" customHeight="1" x14ac:dyDescent="0.35">
      <c r="A128" s="21" t="s">
        <v>199</v>
      </c>
      <c r="B128" s="22"/>
      <c r="C128" s="22"/>
    </row>
    <row r="129" spans="1:3" ht="6.65" customHeight="1" x14ac:dyDescent="0.35">
      <c r="A129" s="23" t="s">
        <v>200</v>
      </c>
      <c r="B129" s="26">
        <v>1773</v>
      </c>
      <c r="C129" s="26">
        <v>1787</v>
      </c>
    </row>
    <row r="130" spans="1:3" ht="6.65" customHeight="1" x14ac:dyDescent="0.35">
      <c r="A130" s="23" t="s">
        <v>201</v>
      </c>
      <c r="B130" s="24">
        <v>11119</v>
      </c>
      <c r="C130" s="24">
        <v>12816</v>
      </c>
    </row>
    <row r="131" spans="1:3" ht="6.65" customHeight="1" x14ac:dyDescent="0.35">
      <c r="A131" s="25" t="s">
        <v>202</v>
      </c>
      <c r="B131" s="24">
        <v>10367</v>
      </c>
      <c r="C131" s="24">
        <v>11872</v>
      </c>
    </row>
    <row r="132" spans="1:3" ht="6.65" customHeight="1" x14ac:dyDescent="0.35">
      <c r="A132" s="23" t="s">
        <v>203</v>
      </c>
      <c r="B132" s="24">
        <v>21409</v>
      </c>
      <c r="C132" s="24">
        <v>25733</v>
      </c>
    </row>
    <row r="133" spans="1:3" ht="6.65" customHeight="1" x14ac:dyDescent="0.35">
      <c r="A133" s="23" t="s">
        <v>204</v>
      </c>
      <c r="B133" s="26">
        <v>3914</v>
      </c>
      <c r="C133" s="26">
        <v>4726</v>
      </c>
    </row>
    <row r="134" spans="1:3" ht="6.65" customHeight="1" x14ac:dyDescent="0.35">
      <c r="A134" s="23" t="s">
        <v>612</v>
      </c>
      <c r="B134" s="26">
        <v>2084</v>
      </c>
      <c r="C134" s="26">
        <v>2140</v>
      </c>
    </row>
    <row r="135" spans="1:3" ht="6.65" customHeight="1" x14ac:dyDescent="0.35">
      <c r="A135" s="23" t="s">
        <v>205</v>
      </c>
      <c r="B135" s="24">
        <v>18628</v>
      </c>
      <c r="C135" s="24">
        <v>18467</v>
      </c>
    </row>
    <row r="136" spans="1:3" ht="6.65" customHeight="1" x14ac:dyDescent="0.35">
      <c r="A136" s="25" t="s">
        <v>206</v>
      </c>
      <c r="B136" s="26">
        <v>4079</v>
      </c>
      <c r="C136" s="26">
        <v>4404</v>
      </c>
    </row>
    <row r="137" spans="1:3" ht="6.65" customHeight="1" x14ac:dyDescent="0.35">
      <c r="A137" s="25" t="s">
        <v>207</v>
      </c>
      <c r="B137" s="24">
        <v>14549</v>
      </c>
      <c r="C137" s="24">
        <v>14063</v>
      </c>
    </row>
    <row r="138" spans="1:3" ht="6.65" customHeight="1" x14ac:dyDescent="0.35">
      <c r="A138" s="21" t="s">
        <v>208</v>
      </c>
      <c r="B138" s="22"/>
      <c r="C138" s="22"/>
    </row>
    <row r="139" spans="1:3" ht="6.65" customHeight="1" x14ac:dyDescent="0.35">
      <c r="A139" s="23" t="s">
        <v>209</v>
      </c>
      <c r="B139" s="24">
        <v>23422</v>
      </c>
      <c r="C139" s="24">
        <v>34774</v>
      </c>
    </row>
    <row r="140" spans="1:3" ht="6.65" customHeight="1" x14ac:dyDescent="0.35">
      <c r="A140" s="23" t="s">
        <v>210</v>
      </c>
      <c r="B140" s="24">
        <v>37111</v>
      </c>
      <c r="C140" s="24">
        <v>49339</v>
      </c>
    </row>
    <row r="141" spans="1:3" ht="6.65" customHeight="1" x14ac:dyDescent="0.35">
      <c r="A141" s="23" t="s">
        <v>213</v>
      </c>
      <c r="B141" s="26">
        <v>6000</v>
      </c>
      <c r="C141" s="26">
        <v>6000</v>
      </c>
    </row>
    <row r="142" spans="1:3" ht="6.65" customHeight="1" x14ac:dyDescent="0.35">
      <c r="A142" s="21" t="s">
        <v>214</v>
      </c>
      <c r="B142" s="22"/>
      <c r="C142" s="22"/>
    </row>
    <row r="143" spans="1:3" ht="6.65" customHeight="1" x14ac:dyDescent="0.35">
      <c r="A143" s="23" t="s">
        <v>215</v>
      </c>
      <c r="B143" s="24">
        <v>10100</v>
      </c>
      <c r="C143" s="24">
        <v>13100</v>
      </c>
    </row>
    <row r="144" spans="1:3" ht="6.65" customHeight="1" x14ac:dyDescent="0.35">
      <c r="A144" s="25" t="s">
        <v>216</v>
      </c>
      <c r="B144" s="26">
        <v>2600</v>
      </c>
      <c r="C144" s="26">
        <v>2600</v>
      </c>
    </row>
    <row r="145" spans="1:3" ht="6.65" customHeight="1" x14ac:dyDescent="0.35">
      <c r="A145" s="25" t="s">
        <v>217</v>
      </c>
      <c r="B145" s="26">
        <v>2200</v>
      </c>
      <c r="C145" s="26">
        <v>2700</v>
      </c>
    </row>
    <row r="146" spans="1:3" ht="6.65" customHeight="1" x14ac:dyDescent="0.35">
      <c r="A146" s="25" t="s">
        <v>218</v>
      </c>
      <c r="B146" s="26">
        <v>1500</v>
      </c>
      <c r="C146" s="26">
        <v>2100</v>
      </c>
    </row>
    <row r="147" spans="1:3" ht="6.65" customHeight="1" x14ac:dyDescent="0.35">
      <c r="A147" s="25" t="s">
        <v>219</v>
      </c>
      <c r="B147" s="26">
        <v>2100</v>
      </c>
      <c r="C147" s="26">
        <v>3000</v>
      </c>
    </row>
    <row r="148" spans="1:3" ht="6.65" customHeight="1" x14ac:dyDescent="0.35">
      <c r="A148" s="25" t="s">
        <v>220</v>
      </c>
      <c r="B148" s="26">
        <v>1700</v>
      </c>
      <c r="C148" s="26">
        <v>2700</v>
      </c>
    </row>
    <row r="149" spans="1:3" ht="6.65" customHeight="1" x14ac:dyDescent="0.35">
      <c r="A149" s="23" t="s">
        <v>221</v>
      </c>
      <c r="B149" s="26">
        <v>3700</v>
      </c>
      <c r="C149" s="26">
        <v>4800</v>
      </c>
    </row>
    <row r="150" spans="1:3" ht="6.65" customHeight="1" x14ac:dyDescent="0.35">
      <c r="A150" s="23" t="s">
        <v>222</v>
      </c>
      <c r="B150" s="26">
        <v>3800</v>
      </c>
      <c r="C150" s="26">
        <v>5700</v>
      </c>
    </row>
    <row r="151" spans="1:3" ht="6.65" customHeight="1" x14ac:dyDescent="0.35">
      <c r="A151" s="21" t="s">
        <v>235</v>
      </c>
      <c r="B151" s="22"/>
      <c r="C151" s="22"/>
    </row>
    <row r="152" spans="1:3" ht="6.65" customHeight="1" x14ac:dyDescent="0.35">
      <c r="A152" s="23" t="s">
        <v>236</v>
      </c>
      <c r="B152" s="30">
        <v>6</v>
      </c>
      <c r="C152" s="30">
        <v>7</v>
      </c>
    </row>
    <row r="153" spans="1:3" ht="6.65" customHeight="1" x14ac:dyDescent="0.35">
      <c r="A153" s="23" t="s">
        <v>238</v>
      </c>
      <c r="B153" s="33">
        <v>0</v>
      </c>
      <c r="C153" s="33">
        <v>0</v>
      </c>
    </row>
    <row r="154" spans="1:3" ht="6.65" customHeight="1" x14ac:dyDescent="0.35">
      <c r="A154" s="21" t="s">
        <v>82</v>
      </c>
      <c r="B154" s="22"/>
      <c r="C154" s="22"/>
    </row>
    <row r="155" spans="1:3" ht="6.65" customHeight="1" x14ac:dyDescent="0.35">
      <c r="A155" s="23" t="s">
        <v>433</v>
      </c>
      <c r="B155" s="30">
        <v>59</v>
      </c>
      <c r="C155" s="30">
        <v>56</v>
      </c>
    </row>
    <row r="156" spans="1:3" ht="6.65" customHeight="1" x14ac:dyDescent="0.35">
      <c r="A156" s="23" t="s">
        <v>240</v>
      </c>
      <c r="B156" s="31">
        <v>-2880</v>
      </c>
      <c r="C156" s="26">
        <v>624</v>
      </c>
    </row>
    <row r="157" spans="1:3" ht="6.65" customHeight="1" x14ac:dyDescent="0.35">
      <c r="A157" s="23" t="s">
        <v>241</v>
      </c>
      <c r="B157" s="24">
        <v>82196</v>
      </c>
      <c r="C157" s="24">
        <v>100597</v>
      </c>
    </row>
    <row r="158" spans="1:3" ht="6.65" customHeight="1" x14ac:dyDescent="0.35">
      <c r="A158" s="23" t="s">
        <v>242</v>
      </c>
      <c r="B158" s="24">
        <v>13242</v>
      </c>
      <c r="C158" s="24">
        <v>14565</v>
      </c>
    </row>
    <row r="159" spans="1:3" ht="6.65" customHeight="1" x14ac:dyDescent="0.35">
      <c r="A159" s="23" t="s">
        <v>243</v>
      </c>
      <c r="B159" s="24">
        <v>13689</v>
      </c>
      <c r="C159" s="24">
        <v>14565</v>
      </c>
    </row>
    <row r="160" spans="1:3" ht="6.65" customHeight="1" x14ac:dyDescent="0.35">
      <c r="A160" s="23" t="s">
        <v>244</v>
      </c>
      <c r="B160" s="24">
        <v>37170</v>
      </c>
      <c r="C160" s="24">
        <v>49395</v>
      </c>
    </row>
    <row r="161" spans="1:3" ht="6.65" customHeight="1" x14ac:dyDescent="0.35">
      <c r="A161" s="23" t="s">
        <v>245</v>
      </c>
      <c r="B161" s="26">
        <v>1593</v>
      </c>
      <c r="C161" s="26">
        <v>2011</v>
      </c>
    </row>
    <row r="162" spans="1:3" ht="6.65" customHeight="1" x14ac:dyDescent="0.35">
      <c r="A162" s="23" t="s">
        <v>246</v>
      </c>
      <c r="B162" s="24">
        <v>69794</v>
      </c>
      <c r="C162" s="24">
        <v>87436</v>
      </c>
    </row>
    <row r="163" spans="1:3" ht="6.65" customHeight="1" x14ac:dyDescent="0.35">
      <c r="A163" s="23" t="s">
        <v>247</v>
      </c>
      <c r="B163" s="24">
        <v>69794</v>
      </c>
      <c r="C163" s="24">
        <v>87436</v>
      </c>
    </row>
    <row r="164" spans="1:3" ht="6.65" customHeight="1" x14ac:dyDescent="0.35">
      <c r="A164" s="23" t="s">
        <v>248</v>
      </c>
      <c r="B164" s="26">
        <v>1387</v>
      </c>
      <c r="C164" s="26">
        <v>1439</v>
      </c>
    </row>
    <row r="165" spans="1:3" ht="6.65" customHeight="1" x14ac:dyDescent="0.35">
      <c r="A165" s="23" t="s">
        <v>249</v>
      </c>
      <c r="B165" s="24">
        <v>46313</v>
      </c>
      <c r="C165" s="24">
        <v>52606</v>
      </c>
    </row>
    <row r="166" spans="1:3" ht="6.65" customHeight="1" x14ac:dyDescent="0.35">
      <c r="A166" s="23" t="s">
        <v>250</v>
      </c>
      <c r="B166" s="26">
        <v>8334</v>
      </c>
      <c r="C166" s="26">
        <v>4402</v>
      </c>
    </row>
    <row r="167" spans="1:3" ht="6.65" customHeight="1" x14ac:dyDescent="0.35">
      <c r="A167" s="23" t="s">
        <v>251</v>
      </c>
      <c r="B167" s="26">
        <v>8275</v>
      </c>
      <c r="C167" s="26">
        <v>4346</v>
      </c>
    </row>
    <row r="168" spans="1:3" ht="6.65" customHeight="1" x14ac:dyDescent="0.35">
      <c r="A168" s="23" t="s">
        <v>252</v>
      </c>
      <c r="B168" s="24">
        <v>83424</v>
      </c>
      <c r="C168" s="24">
        <v>101945</v>
      </c>
    </row>
    <row r="169" spans="1:3" ht="6.65" customHeight="1" x14ac:dyDescent="0.35">
      <c r="A169" s="23" t="s">
        <v>253</v>
      </c>
      <c r="B169" s="24">
        <v>83483</v>
      </c>
      <c r="C169" s="24">
        <v>102001</v>
      </c>
    </row>
    <row r="170" spans="1:3" ht="6.65" customHeight="1" x14ac:dyDescent="0.35">
      <c r="A170" s="23" t="s">
        <v>254</v>
      </c>
      <c r="B170" s="24">
        <v>88686</v>
      </c>
      <c r="C170" s="24">
        <v>108539</v>
      </c>
    </row>
    <row r="171" spans="1:3" ht="6.65" customHeight="1" x14ac:dyDescent="0.35">
      <c r="A171" s="23" t="s">
        <v>255</v>
      </c>
      <c r="B171" s="24">
        <v>56656</v>
      </c>
      <c r="C171" s="24">
        <v>71646</v>
      </c>
    </row>
    <row r="172" spans="1:3" ht="6.65" customHeight="1" x14ac:dyDescent="0.35">
      <c r="A172" s="23" t="s">
        <v>256</v>
      </c>
      <c r="B172" s="24">
        <v>10362</v>
      </c>
      <c r="C172" s="24">
        <v>15189</v>
      </c>
    </row>
    <row r="173" spans="1:3" ht="6.65" customHeight="1" x14ac:dyDescent="0.35">
      <c r="A173" s="23" t="s">
        <v>257</v>
      </c>
      <c r="B173" s="31">
        <v>-3327</v>
      </c>
      <c r="C173" s="26">
        <v>624</v>
      </c>
    </row>
    <row r="174" spans="1:3" ht="6.65" customHeight="1" x14ac:dyDescent="0.35">
      <c r="A174" s="23" t="s">
        <v>434</v>
      </c>
      <c r="B174" s="26">
        <v>3360</v>
      </c>
      <c r="C174" s="26">
        <v>5698</v>
      </c>
    </row>
    <row r="175" spans="1:3" ht="6.65" customHeight="1" x14ac:dyDescent="0.35">
      <c r="A175" s="23" t="s">
        <v>258</v>
      </c>
      <c r="B175" s="24">
        <v>46313</v>
      </c>
      <c r="C175" s="24">
        <v>52606</v>
      </c>
    </row>
    <row r="176" spans="1:3" ht="6.65" customHeight="1" x14ac:dyDescent="0.35">
      <c r="A176" s="21" t="s">
        <v>259</v>
      </c>
      <c r="B176" s="22"/>
      <c r="C176" s="22"/>
    </row>
    <row r="177" spans="1:3" ht="6.65" customHeight="1" x14ac:dyDescent="0.35">
      <c r="A177" s="23" t="s">
        <v>260</v>
      </c>
      <c r="B177" s="24">
        <v>85700</v>
      </c>
      <c r="C177" s="24">
        <v>80500</v>
      </c>
    </row>
    <row r="178" spans="1:3" ht="6.65" customHeight="1" x14ac:dyDescent="0.35">
      <c r="A178" s="21" t="s">
        <v>261</v>
      </c>
      <c r="B178" s="22"/>
      <c r="C178" s="22"/>
    </row>
    <row r="179" spans="1:3" ht="6.65" customHeight="1" x14ac:dyDescent="0.35">
      <c r="A179" s="23" t="s">
        <v>262</v>
      </c>
      <c r="B179" s="26">
        <v>1159</v>
      </c>
      <c r="C179" s="26">
        <v>1195</v>
      </c>
    </row>
    <row r="180" spans="1:3" ht="6.65" customHeight="1" x14ac:dyDescent="0.35">
      <c r="A180" s="25" t="s">
        <v>263</v>
      </c>
      <c r="B180" s="26">
        <v>329</v>
      </c>
      <c r="C180" s="26">
        <v>335</v>
      </c>
    </row>
    <row r="181" spans="1:3" ht="6.65" customHeight="1" x14ac:dyDescent="0.35">
      <c r="A181" s="25" t="s">
        <v>264</v>
      </c>
      <c r="B181" s="26">
        <v>292</v>
      </c>
      <c r="C181" s="26">
        <v>261</v>
      </c>
    </row>
    <row r="182" spans="1:3" ht="6.65" customHeight="1" x14ac:dyDescent="0.35">
      <c r="A182" s="25" t="s">
        <v>265</v>
      </c>
      <c r="B182" s="26">
        <v>235</v>
      </c>
      <c r="C182" s="26">
        <v>204</v>
      </c>
    </row>
    <row r="183" spans="1:3" ht="6.65" customHeight="1" x14ac:dyDescent="0.35">
      <c r="A183" s="25" t="s">
        <v>266</v>
      </c>
      <c r="B183" s="26">
        <v>146</v>
      </c>
      <c r="C183" s="26">
        <v>125</v>
      </c>
    </row>
    <row r="184" spans="1:3" ht="6.65" customHeight="1" x14ac:dyDescent="0.35">
      <c r="A184" s="25" t="s">
        <v>267</v>
      </c>
      <c r="B184" s="26">
        <v>116</v>
      </c>
      <c r="C184" s="26">
        <v>103</v>
      </c>
    </row>
    <row r="185" spans="1:3" ht="6.65" customHeight="1" x14ac:dyDescent="0.35">
      <c r="A185" s="25" t="s">
        <v>268</v>
      </c>
      <c r="B185" s="26">
        <v>403</v>
      </c>
      <c r="C185" s="26">
        <v>415</v>
      </c>
    </row>
    <row r="186" spans="1:3" ht="6.65" customHeight="1" x14ac:dyDescent="0.35">
      <c r="A186" s="25" t="s">
        <v>269</v>
      </c>
      <c r="B186" s="26">
        <v>362</v>
      </c>
      <c r="C186" s="26">
        <v>248</v>
      </c>
    </row>
    <row r="187" spans="1:3" ht="6.65" customHeight="1" x14ac:dyDescent="0.35">
      <c r="A187" s="23" t="s">
        <v>270</v>
      </c>
      <c r="B187" s="26">
        <v>527</v>
      </c>
      <c r="C187" s="26">
        <v>465</v>
      </c>
    </row>
    <row r="188" spans="1:3" ht="6.65" customHeight="1" x14ac:dyDescent="0.35">
      <c r="A188" s="23" t="s">
        <v>271</v>
      </c>
      <c r="B188" s="26">
        <v>262</v>
      </c>
      <c r="C188" s="26">
        <v>228</v>
      </c>
    </row>
    <row r="189" spans="1:3" ht="6.65" customHeight="1" x14ac:dyDescent="0.35">
      <c r="A189" s="23" t="s">
        <v>272</v>
      </c>
      <c r="B189" s="26">
        <v>403</v>
      </c>
      <c r="C189" s="26">
        <v>415</v>
      </c>
    </row>
    <row r="190" spans="1:3" ht="6.65" customHeight="1" x14ac:dyDescent="0.35">
      <c r="A190" s="21" t="s">
        <v>273</v>
      </c>
      <c r="B190" s="22"/>
      <c r="C190" s="22"/>
    </row>
    <row r="191" spans="1:3" ht="6.65" customHeight="1" x14ac:dyDescent="0.35">
      <c r="A191" s="23" t="s">
        <v>274</v>
      </c>
      <c r="B191" s="24">
        <v>75000</v>
      </c>
      <c r="C191" s="24">
        <v>75000</v>
      </c>
    </row>
    <row r="192" spans="1:3" ht="6.65" customHeight="1" x14ac:dyDescent="0.35">
      <c r="A192" s="23" t="s">
        <v>275</v>
      </c>
      <c r="B192" s="24">
        <v>75000</v>
      </c>
      <c r="C192" s="24">
        <v>75000</v>
      </c>
    </row>
    <row r="195" spans="1:3" x14ac:dyDescent="0.35">
      <c r="A195" s="15" t="s">
        <v>110</v>
      </c>
      <c r="B195" s="16" t="s">
        <v>111</v>
      </c>
      <c r="C195" s="16" t="s">
        <v>112</v>
      </c>
    </row>
    <row r="196" spans="1:3" x14ac:dyDescent="0.35">
      <c r="A196" s="17" t="s">
        <v>113</v>
      </c>
      <c r="B196" s="18">
        <v>45657</v>
      </c>
      <c r="C196" s="18">
        <v>46022</v>
      </c>
    </row>
    <row r="197" spans="1:3" x14ac:dyDescent="0.35">
      <c r="A197" s="17" t="s">
        <v>114</v>
      </c>
      <c r="B197" s="18" t="s">
        <v>115</v>
      </c>
      <c r="C197" s="18" t="s">
        <v>115</v>
      </c>
    </row>
    <row r="198" spans="1:3" x14ac:dyDescent="0.35">
      <c r="A198" s="19" t="s">
        <v>276</v>
      </c>
      <c r="B198" s="15"/>
      <c r="C198" s="15"/>
    </row>
    <row r="199" spans="1:3" x14ac:dyDescent="0.35">
      <c r="A199" s="19" t="s">
        <v>117</v>
      </c>
      <c r="B199" s="20" t="s">
        <v>118</v>
      </c>
      <c r="C199" s="20" t="s">
        <v>119</v>
      </c>
    </row>
    <row r="200" spans="1:3" x14ac:dyDescent="0.35">
      <c r="A200" s="21" t="s">
        <v>277</v>
      </c>
      <c r="B200" s="22"/>
      <c r="C200" s="22"/>
    </row>
    <row r="201" spans="1:3" x14ac:dyDescent="0.35">
      <c r="A201" s="23" t="s">
        <v>278</v>
      </c>
      <c r="B201" s="24">
        <v>64168</v>
      </c>
      <c r="C201" s="24">
        <v>65011</v>
      </c>
    </row>
    <row r="202" spans="1:3" x14ac:dyDescent="0.35">
      <c r="A202" s="25" t="s">
        <v>279</v>
      </c>
      <c r="B202" s="24">
        <v>64168</v>
      </c>
      <c r="C202" s="24">
        <v>65011</v>
      </c>
    </row>
    <row r="203" spans="1:3" x14ac:dyDescent="0.35">
      <c r="A203" s="27" t="s">
        <v>64</v>
      </c>
      <c r="B203" s="28">
        <v>64168</v>
      </c>
      <c r="C203" s="28">
        <v>65011</v>
      </c>
    </row>
    <row r="204" spans="1:3" x14ac:dyDescent="0.35">
      <c r="A204" s="21" t="s">
        <v>280</v>
      </c>
      <c r="B204" s="22"/>
      <c r="C204" s="22"/>
    </row>
    <row r="205" spans="1:3" x14ac:dyDescent="0.35">
      <c r="A205" s="23" t="s">
        <v>281</v>
      </c>
      <c r="B205" s="24">
        <v>14698</v>
      </c>
      <c r="C205" s="24">
        <v>14898</v>
      </c>
    </row>
    <row r="206" spans="1:3" x14ac:dyDescent="0.35">
      <c r="A206" s="25" t="s">
        <v>282</v>
      </c>
      <c r="B206" s="24">
        <v>14698</v>
      </c>
      <c r="C206" s="24">
        <v>14898</v>
      </c>
    </row>
    <row r="207" spans="1:3" x14ac:dyDescent="0.35">
      <c r="A207" s="25" t="s">
        <v>283</v>
      </c>
      <c r="B207" s="24">
        <v>12298</v>
      </c>
      <c r="C207" s="24">
        <v>12098</v>
      </c>
    </row>
    <row r="208" spans="1:3" x14ac:dyDescent="0.35">
      <c r="A208" s="25" t="s">
        <v>494</v>
      </c>
      <c r="B208" s="26">
        <v>2400</v>
      </c>
      <c r="C208" s="26">
        <v>2800</v>
      </c>
    </row>
    <row r="209" spans="1:4" x14ac:dyDescent="0.35">
      <c r="A209" s="27" t="s">
        <v>68</v>
      </c>
      <c r="B209" s="28">
        <v>49470</v>
      </c>
      <c r="C209" s="28">
        <v>50113</v>
      </c>
    </row>
    <row r="210" spans="1:4" x14ac:dyDescent="0.35">
      <c r="A210" s="23" t="s">
        <v>286</v>
      </c>
      <c r="B210" s="24">
        <v>25175</v>
      </c>
      <c r="C210" s="24">
        <v>25594</v>
      </c>
    </row>
    <row r="211" spans="1:4" x14ac:dyDescent="0.35">
      <c r="A211" s="25" t="s">
        <v>287</v>
      </c>
      <c r="B211" s="24">
        <v>10733</v>
      </c>
      <c r="C211" s="24">
        <v>10730</v>
      </c>
    </row>
    <row r="212" spans="1:4" x14ac:dyDescent="0.35">
      <c r="A212" s="25" t="s">
        <v>529</v>
      </c>
      <c r="B212" s="24">
        <v>14442</v>
      </c>
      <c r="C212" s="24">
        <v>14864</v>
      </c>
    </row>
    <row r="213" spans="1:4" x14ac:dyDescent="0.35">
      <c r="A213" s="23" t="s">
        <v>76</v>
      </c>
      <c r="B213" s="24">
        <v>39873</v>
      </c>
      <c r="C213" s="24">
        <v>40492</v>
      </c>
      <c r="D213" s="123"/>
    </row>
    <row r="214" spans="1:4" x14ac:dyDescent="0.35">
      <c r="A214" s="21" t="s">
        <v>292</v>
      </c>
      <c r="B214" s="22"/>
      <c r="C214" s="22"/>
    </row>
    <row r="215" spans="1:4" x14ac:dyDescent="0.35">
      <c r="A215" s="27" t="s">
        <v>293</v>
      </c>
      <c r="B215" s="28">
        <v>24295</v>
      </c>
      <c r="C215" s="28">
        <v>24519</v>
      </c>
    </row>
    <row r="216" spans="1:4" x14ac:dyDescent="0.35">
      <c r="A216" s="21" t="s">
        <v>294</v>
      </c>
      <c r="B216" s="22"/>
      <c r="C216" s="22"/>
    </row>
    <row r="217" spans="1:4" x14ac:dyDescent="0.35">
      <c r="A217" s="23" t="s">
        <v>295</v>
      </c>
      <c r="B217" s="31">
        <v>-1039</v>
      </c>
      <c r="C217" s="31">
        <v>-1443</v>
      </c>
    </row>
    <row r="218" spans="1:4" x14ac:dyDescent="0.35">
      <c r="A218" s="25" t="s">
        <v>81</v>
      </c>
      <c r="B218" s="26">
        <v>856</v>
      </c>
      <c r="C218" s="26">
        <v>1014</v>
      </c>
    </row>
    <row r="219" spans="1:4" x14ac:dyDescent="0.35">
      <c r="A219" s="25" t="s">
        <v>296</v>
      </c>
      <c r="B219" s="26">
        <v>415</v>
      </c>
      <c r="C219" s="26">
        <v>343</v>
      </c>
    </row>
    <row r="220" spans="1:4" x14ac:dyDescent="0.35">
      <c r="A220" s="25" t="s">
        <v>297</v>
      </c>
      <c r="B220" s="26">
        <v>1271</v>
      </c>
      <c r="C220" s="26">
        <v>1357</v>
      </c>
    </row>
    <row r="221" spans="1:4" x14ac:dyDescent="0.35">
      <c r="A221" s="25" t="s">
        <v>300</v>
      </c>
      <c r="B221" s="31">
        <v>-183</v>
      </c>
      <c r="C221" s="31">
        <v>-429</v>
      </c>
    </row>
    <row r="222" spans="1:4" x14ac:dyDescent="0.35">
      <c r="A222" s="25" t="s">
        <v>301</v>
      </c>
      <c r="B222" s="31">
        <v>-227</v>
      </c>
      <c r="C222" s="31">
        <v>-323</v>
      </c>
    </row>
    <row r="223" spans="1:4" x14ac:dyDescent="0.35">
      <c r="A223" s="25" t="s">
        <v>592</v>
      </c>
      <c r="B223" s="30">
        <v>44</v>
      </c>
      <c r="C223" s="31">
        <v>-106</v>
      </c>
    </row>
    <row r="224" spans="1:4" x14ac:dyDescent="0.35">
      <c r="A224" s="23" t="s">
        <v>438</v>
      </c>
      <c r="B224" s="26">
        <v>3573</v>
      </c>
      <c r="C224" s="26">
        <v>3275</v>
      </c>
    </row>
    <row r="225" spans="1:3" x14ac:dyDescent="0.35">
      <c r="A225" s="25" t="s">
        <v>439</v>
      </c>
      <c r="B225" s="26">
        <v>2480</v>
      </c>
      <c r="C225" s="26">
        <v>2457</v>
      </c>
    </row>
    <row r="226" spans="1:3" x14ac:dyDescent="0.35">
      <c r="A226" s="23" t="s">
        <v>304</v>
      </c>
      <c r="B226" s="24">
        <v>26829</v>
      </c>
      <c r="C226" s="24">
        <v>26351</v>
      </c>
    </row>
    <row r="227" spans="1:3" x14ac:dyDescent="0.35">
      <c r="A227" s="21" t="s">
        <v>305</v>
      </c>
      <c r="B227" s="22"/>
      <c r="C227" s="22"/>
    </row>
    <row r="228" spans="1:3" x14ac:dyDescent="0.35">
      <c r="A228" s="23" t="s">
        <v>306</v>
      </c>
      <c r="B228" s="31">
        <v>-6893</v>
      </c>
      <c r="C228" s="31">
        <v>-5284</v>
      </c>
    </row>
    <row r="229" spans="1:3" x14ac:dyDescent="0.35">
      <c r="A229" s="25" t="s">
        <v>307</v>
      </c>
      <c r="B229" s="30">
        <v>39</v>
      </c>
      <c r="C229" s="30">
        <v>55</v>
      </c>
    </row>
    <row r="230" spans="1:3" x14ac:dyDescent="0.35">
      <c r="A230" s="25" t="s">
        <v>554</v>
      </c>
      <c r="B230" s="30">
        <v>39</v>
      </c>
      <c r="C230" s="30">
        <v>55</v>
      </c>
    </row>
    <row r="231" spans="1:3" x14ac:dyDescent="0.35">
      <c r="A231" s="25" t="s">
        <v>310</v>
      </c>
      <c r="B231" s="26">
        <v>888</v>
      </c>
      <c r="C231" s="26">
        <v>2551</v>
      </c>
    </row>
    <row r="232" spans="1:3" x14ac:dyDescent="0.35">
      <c r="A232" s="25" t="s">
        <v>530</v>
      </c>
      <c r="B232" s="32">
        <v>-30</v>
      </c>
      <c r="C232" s="26">
        <v>474</v>
      </c>
    </row>
    <row r="233" spans="1:3" x14ac:dyDescent="0.35">
      <c r="A233" s="25" t="s">
        <v>312</v>
      </c>
      <c r="B233" s="31">
        <v>-5236</v>
      </c>
      <c r="C233" s="31">
        <v>-2952</v>
      </c>
    </row>
    <row r="234" spans="1:3" x14ac:dyDescent="0.35">
      <c r="A234" s="25" t="s">
        <v>441</v>
      </c>
      <c r="B234" s="31">
        <v>-700</v>
      </c>
      <c r="C234" s="31">
        <v>-200</v>
      </c>
    </row>
    <row r="235" spans="1:3" x14ac:dyDescent="0.35">
      <c r="A235" s="21" t="s">
        <v>313</v>
      </c>
      <c r="B235" s="22"/>
      <c r="C235" s="22"/>
    </row>
    <row r="236" spans="1:3" x14ac:dyDescent="0.35">
      <c r="A236" s="27" t="s">
        <v>83</v>
      </c>
      <c r="B236" s="28">
        <v>19936</v>
      </c>
      <c r="C236" s="28">
        <v>21067</v>
      </c>
    </row>
    <row r="237" spans="1:3" x14ac:dyDescent="0.35">
      <c r="A237" s="21" t="s">
        <v>314</v>
      </c>
      <c r="B237" s="22"/>
      <c r="C237" s="22"/>
    </row>
    <row r="238" spans="1:3" x14ac:dyDescent="0.35">
      <c r="A238" s="23" t="s">
        <v>84</v>
      </c>
      <c r="B238" s="26">
        <v>2803</v>
      </c>
      <c r="C238" s="26">
        <v>2804</v>
      </c>
    </row>
    <row r="239" spans="1:3" x14ac:dyDescent="0.35">
      <c r="A239" s="25" t="s">
        <v>315</v>
      </c>
      <c r="B239" s="26">
        <v>4052</v>
      </c>
      <c r="C239" s="26">
        <v>4475</v>
      </c>
    </row>
    <row r="240" spans="1:3" x14ac:dyDescent="0.35">
      <c r="A240" s="25" t="s">
        <v>316</v>
      </c>
      <c r="B240" s="26">
        <v>929</v>
      </c>
      <c r="C240" s="26">
        <v>403</v>
      </c>
    </row>
    <row r="241" spans="1:3" x14ac:dyDescent="0.35">
      <c r="A241" s="25" t="s">
        <v>317</v>
      </c>
      <c r="B241" s="26">
        <v>3123</v>
      </c>
      <c r="C241" s="26">
        <v>4072</v>
      </c>
    </row>
    <row r="242" spans="1:3" x14ac:dyDescent="0.35">
      <c r="A242" s="25" t="s">
        <v>318</v>
      </c>
      <c r="B242" s="31">
        <v>-1249</v>
      </c>
      <c r="C242" s="31">
        <v>-1671</v>
      </c>
    </row>
    <row r="243" spans="1:3" x14ac:dyDescent="0.35">
      <c r="A243" s="25" t="s">
        <v>319</v>
      </c>
      <c r="B243" s="31">
        <v>-1461</v>
      </c>
      <c r="C243" s="31">
        <v>-1588</v>
      </c>
    </row>
    <row r="244" spans="1:3" x14ac:dyDescent="0.35">
      <c r="A244" s="25" t="s">
        <v>320</v>
      </c>
      <c r="B244" s="26">
        <v>212</v>
      </c>
      <c r="C244" s="32">
        <v>-83</v>
      </c>
    </row>
    <row r="245" spans="1:3" x14ac:dyDescent="0.35">
      <c r="A245" s="21" t="s">
        <v>321</v>
      </c>
      <c r="B245" s="22"/>
      <c r="C245" s="22"/>
    </row>
    <row r="246" spans="1:3" x14ac:dyDescent="0.35">
      <c r="A246" s="23" t="s">
        <v>322</v>
      </c>
      <c r="B246" s="24">
        <v>17133</v>
      </c>
      <c r="C246" s="24">
        <v>18263</v>
      </c>
    </row>
    <row r="247" spans="1:3" x14ac:dyDescent="0.35">
      <c r="A247" s="21" t="s">
        <v>323</v>
      </c>
      <c r="B247" s="22"/>
      <c r="C247" s="22"/>
    </row>
    <row r="248" spans="1:3" x14ac:dyDescent="0.35">
      <c r="A248" s="27" t="s">
        <v>324</v>
      </c>
      <c r="B248" s="28">
        <v>17133</v>
      </c>
      <c r="C248" s="28">
        <v>18263</v>
      </c>
    </row>
    <row r="249" spans="1:3" x14ac:dyDescent="0.35">
      <c r="A249" s="23" t="s">
        <v>327</v>
      </c>
      <c r="B249" s="24">
        <v>17133</v>
      </c>
      <c r="C249" s="24">
        <v>18263</v>
      </c>
    </row>
    <row r="250" spans="1:3" x14ac:dyDescent="0.35">
      <c r="A250" s="23" t="s">
        <v>442</v>
      </c>
      <c r="B250" s="30">
        <v>16</v>
      </c>
      <c r="C250" s="30">
        <v>9</v>
      </c>
    </row>
    <row r="251" spans="1:3" x14ac:dyDescent="0.35">
      <c r="A251" s="23" t="s">
        <v>85</v>
      </c>
      <c r="B251" s="24">
        <v>17117</v>
      </c>
      <c r="C251" s="24">
        <v>18254</v>
      </c>
    </row>
    <row r="252" spans="1:3" x14ac:dyDescent="0.35">
      <c r="A252" s="21" t="s">
        <v>328</v>
      </c>
      <c r="B252" s="22"/>
      <c r="C252" s="22"/>
    </row>
    <row r="253" spans="1:3" x14ac:dyDescent="0.35">
      <c r="A253" s="27" t="s">
        <v>330</v>
      </c>
      <c r="B253" s="28">
        <v>17117</v>
      </c>
      <c r="C253" s="28">
        <v>18254</v>
      </c>
    </row>
    <row r="254" spans="1:3" x14ac:dyDescent="0.35">
      <c r="A254" s="21" t="s">
        <v>331</v>
      </c>
      <c r="B254" s="22"/>
      <c r="C254" s="22"/>
    </row>
    <row r="255" spans="1:3" x14ac:dyDescent="0.35">
      <c r="A255" s="23" t="s">
        <v>332</v>
      </c>
      <c r="B255" s="24">
        <v>17117</v>
      </c>
      <c r="C255" s="24">
        <v>18254</v>
      </c>
    </row>
    <row r="256" spans="1:3" x14ac:dyDescent="0.35">
      <c r="A256" s="23" t="s">
        <v>333</v>
      </c>
      <c r="B256" s="31">
        <v>-516</v>
      </c>
      <c r="C256" s="26">
        <v>177</v>
      </c>
    </row>
    <row r="257" spans="1:3" x14ac:dyDescent="0.35">
      <c r="A257" s="23" t="s">
        <v>335</v>
      </c>
      <c r="B257" s="26">
        <v>266</v>
      </c>
      <c r="C257" s="31">
        <v>-347</v>
      </c>
    </row>
    <row r="258" spans="1:3" x14ac:dyDescent="0.35">
      <c r="A258" s="23" t="s">
        <v>336</v>
      </c>
      <c r="B258" s="26">
        <v>466</v>
      </c>
      <c r="C258" s="26">
        <v>828</v>
      </c>
    </row>
    <row r="259" spans="1:3" x14ac:dyDescent="0.35">
      <c r="A259" s="23" t="s">
        <v>338</v>
      </c>
      <c r="B259" s="26">
        <v>216</v>
      </c>
      <c r="C259" s="26">
        <v>658</v>
      </c>
    </row>
    <row r="260" spans="1:3" x14ac:dyDescent="0.35">
      <c r="A260" s="27" t="s">
        <v>339</v>
      </c>
      <c r="B260" s="28">
        <v>17333</v>
      </c>
      <c r="C260" s="28">
        <v>18912</v>
      </c>
    </row>
    <row r="261" spans="1:3" x14ac:dyDescent="0.35">
      <c r="A261" s="23" t="s">
        <v>340</v>
      </c>
      <c r="B261" s="24">
        <v>17333</v>
      </c>
      <c r="C261" s="24">
        <v>18912</v>
      </c>
    </row>
    <row r="262" spans="1:3" x14ac:dyDescent="0.35">
      <c r="A262" s="21" t="s">
        <v>341</v>
      </c>
      <c r="B262" s="22"/>
      <c r="C262" s="22"/>
    </row>
    <row r="263" spans="1:3" x14ac:dyDescent="0.35">
      <c r="A263" s="23" t="s">
        <v>342</v>
      </c>
      <c r="B263" s="24">
        <v>17117</v>
      </c>
      <c r="C263" s="24">
        <v>18254</v>
      </c>
    </row>
    <row r="264" spans="1:3" x14ac:dyDescent="0.35">
      <c r="A264" s="25" t="s">
        <v>343</v>
      </c>
      <c r="B264" s="24">
        <v>17117</v>
      </c>
      <c r="C264" s="24">
        <v>18254</v>
      </c>
    </row>
    <row r="265" spans="1:3" x14ac:dyDescent="0.35">
      <c r="A265" s="25" t="s">
        <v>344</v>
      </c>
      <c r="B265" s="26">
        <v>2532</v>
      </c>
      <c r="C265" s="26">
        <v>2502</v>
      </c>
    </row>
    <row r="266" spans="1:3" x14ac:dyDescent="0.35">
      <c r="A266" s="25" t="s">
        <v>345</v>
      </c>
      <c r="B266" s="30">
        <v>6.76</v>
      </c>
      <c r="C266" s="30">
        <v>7.3</v>
      </c>
    </row>
    <row r="267" spans="1:3" x14ac:dyDescent="0.35">
      <c r="A267" s="25" t="s">
        <v>346</v>
      </c>
      <c r="B267" s="30">
        <v>6.76</v>
      </c>
      <c r="C267" s="30">
        <v>7.3</v>
      </c>
    </row>
    <row r="268" spans="1:3" x14ac:dyDescent="0.35">
      <c r="A268" s="25" t="s">
        <v>347</v>
      </c>
      <c r="B268" s="30">
        <v>9.48</v>
      </c>
      <c r="C268" s="30">
        <v>9.41</v>
      </c>
    </row>
    <row r="269" spans="1:3" x14ac:dyDescent="0.35">
      <c r="A269" s="23" t="s">
        <v>348</v>
      </c>
      <c r="B269" s="24">
        <v>17117</v>
      </c>
      <c r="C269" s="24">
        <v>18254</v>
      </c>
    </row>
    <row r="270" spans="1:3" x14ac:dyDescent="0.35">
      <c r="A270" s="23" t="s">
        <v>349</v>
      </c>
      <c r="B270" s="30">
        <v>1</v>
      </c>
      <c r="C270" s="30">
        <v>1</v>
      </c>
    </row>
    <row r="271" spans="1:3" x14ac:dyDescent="0.35">
      <c r="A271" s="25" t="s">
        <v>350</v>
      </c>
      <c r="B271" s="26">
        <v>2532</v>
      </c>
      <c r="C271" s="26">
        <v>2502</v>
      </c>
    </row>
    <row r="272" spans="1:3" x14ac:dyDescent="0.35">
      <c r="A272" s="25" t="s">
        <v>351</v>
      </c>
      <c r="B272" s="30">
        <v>6.76</v>
      </c>
      <c r="C272" s="30">
        <v>7.3</v>
      </c>
    </row>
    <row r="273" spans="1:3" x14ac:dyDescent="0.35">
      <c r="A273" s="25" t="s">
        <v>352</v>
      </c>
      <c r="B273" s="30">
        <v>6.76</v>
      </c>
      <c r="C273" s="30">
        <v>7.3</v>
      </c>
    </row>
    <row r="274" spans="1:3" x14ac:dyDescent="0.35">
      <c r="A274" s="25" t="s">
        <v>353</v>
      </c>
      <c r="B274" s="30">
        <v>9.48</v>
      </c>
      <c r="C274" s="30">
        <v>9.41</v>
      </c>
    </row>
    <row r="275" spans="1:3" x14ac:dyDescent="0.35">
      <c r="A275" s="23" t="s">
        <v>354</v>
      </c>
      <c r="B275" s="24">
        <v>0</v>
      </c>
      <c r="C275" s="24">
        <v>0</v>
      </c>
    </row>
    <row r="276" spans="1:3" x14ac:dyDescent="0.35">
      <c r="A276" s="23" t="s">
        <v>355</v>
      </c>
      <c r="B276" s="30">
        <v>6.85</v>
      </c>
      <c r="C276" s="30">
        <v>7.56</v>
      </c>
    </row>
    <row r="277" spans="1:3" x14ac:dyDescent="0.35">
      <c r="A277" s="21" t="s">
        <v>356</v>
      </c>
      <c r="B277" s="22"/>
      <c r="C277" s="22"/>
    </row>
    <row r="278" spans="1:3" x14ac:dyDescent="0.35">
      <c r="A278" s="23" t="s">
        <v>357</v>
      </c>
      <c r="B278" s="24">
        <v>17117</v>
      </c>
      <c r="C278" s="24">
        <v>18254</v>
      </c>
    </row>
    <row r="279" spans="1:3" x14ac:dyDescent="0.35">
      <c r="A279" s="25" t="s">
        <v>358</v>
      </c>
      <c r="B279" s="24">
        <v>17117</v>
      </c>
      <c r="C279" s="24">
        <v>18254</v>
      </c>
    </row>
    <row r="280" spans="1:3" x14ac:dyDescent="0.35">
      <c r="A280" s="25" t="s">
        <v>359</v>
      </c>
      <c r="B280" s="26">
        <v>2541</v>
      </c>
      <c r="C280" s="26">
        <v>2507</v>
      </c>
    </row>
    <row r="281" spans="1:3" x14ac:dyDescent="0.35">
      <c r="A281" s="25" t="s">
        <v>360</v>
      </c>
      <c r="B281" s="30">
        <v>6.74</v>
      </c>
      <c r="C281" s="30">
        <v>7.28</v>
      </c>
    </row>
    <row r="282" spans="1:3" x14ac:dyDescent="0.35">
      <c r="A282" s="25" t="s">
        <v>361</v>
      </c>
      <c r="B282" s="30">
        <v>6.74</v>
      </c>
      <c r="C282" s="30">
        <v>7.28</v>
      </c>
    </row>
    <row r="283" spans="1:3" x14ac:dyDescent="0.35">
      <c r="A283" s="25" t="s">
        <v>362</v>
      </c>
      <c r="B283" s="30">
        <v>9.4499999999999993</v>
      </c>
      <c r="C283" s="30">
        <v>9.39</v>
      </c>
    </row>
    <row r="284" spans="1:3" x14ac:dyDescent="0.35">
      <c r="A284" s="23" t="s">
        <v>363</v>
      </c>
      <c r="B284" s="24">
        <v>17117</v>
      </c>
      <c r="C284" s="24">
        <v>18254</v>
      </c>
    </row>
    <row r="285" spans="1:3" x14ac:dyDescent="0.35">
      <c r="A285" s="23" t="s">
        <v>364</v>
      </c>
      <c r="B285" s="30">
        <v>1</v>
      </c>
      <c r="C285" s="30">
        <v>1</v>
      </c>
    </row>
    <row r="286" spans="1:3" x14ac:dyDescent="0.35">
      <c r="A286" s="25" t="s">
        <v>365</v>
      </c>
      <c r="B286" s="26">
        <v>2541</v>
      </c>
      <c r="C286" s="26">
        <v>2507</v>
      </c>
    </row>
    <row r="287" spans="1:3" x14ac:dyDescent="0.35">
      <c r="A287" s="25" t="s">
        <v>366</v>
      </c>
      <c r="B287" s="30">
        <v>6.74</v>
      </c>
      <c r="C287" s="30">
        <v>7.28</v>
      </c>
    </row>
    <row r="288" spans="1:3" x14ac:dyDescent="0.35">
      <c r="A288" s="25" t="s">
        <v>367</v>
      </c>
      <c r="B288" s="30">
        <v>6.74</v>
      </c>
      <c r="C288" s="30">
        <v>7.28</v>
      </c>
    </row>
    <row r="289" spans="1:3" x14ac:dyDescent="0.35">
      <c r="A289" s="25" t="s">
        <v>368</v>
      </c>
      <c r="B289" s="30">
        <v>9.4499999999999993</v>
      </c>
      <c r="C289" s="30">
        <v>9.39</v>
      </c>
    </row>
    <row r="290" spans="1:3" x14ac:dyDescent="0.35">
      <c r="A290" s="23" t="s">
        <v>369</v>
      </c>
      <c r="B290" s="24">
        <v>0</v>
      </c>
      <c r="C290" s="24">
        <v>0</v>
      </c>
    </row>
    <row r="291" spans="1:3" x14ac:dyDescent="0.35">
      <c r="A291" s="23" t="s">
        <v>370</v>
      </c>
      <c r="B291" s="30">
        <v>6.82</v>
      </c>
      <c r="C291" s="30">
        <v>7.54</v>
      </c>
    </row>
    <row r="292" spans="1:3" x14ac:dyDescent="0.35">
      <c r="A292" s="21" t="s">
        <v>371</v>
      </c>
      <c r="B292" s="22"/>
      <c r="C292" s="22"/>
    </row>
    <row r="293" spans="1:3" x14ac:dyDescent="0.35">
      <c r="A293" s="23" t="s">
        <v>372</v>
      </c>
      <c r="B293" s="30">
        <v>3.12</v>
      </c>
      <c r="C293" s="30">
        <v>3.28</v>
      </c>
    </row>
    <row r="294" spans="1:3" x14ac:dyDescent="0.35">
      <c r="A294" s="23" t="s">
        <v>373</v>
      </c>
      <c r="B294" s="30">
        <v>3.12</v>
      </c>
      <c r="C294" s="30">
        <v>3.28</v>
      </c>
    </row>
    <row r="295" spans="1:3" x14ac:dyDescent="0.35">
      <c r="A295" s="21" t="s">
        <v>374</v>
      </c>
      <c r="B295" s="22"/>
      <c r="C295" s="22"/>
    </row>
    <row r="296" spans="1:3" x14ac:dyDescent="0.35">
      <c r="A296" s="23" t="s">
        <v>78</v>
      </c>
      <c r="B296" s="24">
        <v>24295</v>
      </c>
      <c r="C296" s="24">
        <v>24519</v>
      </c>
    </row>
    <row r="297" spans="1:3" x14ac:dyDescent="0.35">
      <c r="A297" s="23" t="s">
        <v>80</v>
      </c>
      <c r="B297" s="24">
        <v>28799</v>
      </c>
      <c r="C297" s="24">
        <v>30364</v>
      </c>
    </row>
    <row r="298" spans="1:3" x14ac:dyDescent="0.35">
      <c r="A298" s="23" t="s">
        <v>376</v>
      </c>
      <c r="B298" s="24">
        <v>29147</v>
      </c>
      <c r="C298" s="24">
        <v>30787</v>
      </c>
    </row>
    <row r="299" spans="1:3" x14ac:dyDescent="0.35">
      <c r="A299" s="21" t="s">
        <v>377</v>
      </c>
      <c r="B299" s="22"/>
      <c r="C299" s="22"/>
    </row>
    <row r="300" spans="1:3" x14ac:dyDescent="0.35">
      <c r="A300" s="23" t="s">
        <v>378</v>
      </c>
      <c r="B300" s="26">
        <v>4500</v>
      </c>
      <c r="C300" s="26">
        <v>5800</v>
      </c>
    </row>
    <row r="301" spans="1:3" x14ac:dyDescent="0.35">
      <c r="A301" s="25" t="s">
        <v>379</v>
      </c>
      <c r="B301" s="26">
        <v>2100</v>
      </c>
      <c r="C301" s="26">
        <v>3000</v>
      </c>
    </row>
    <row r="302" spans="1:3" x14ac:dyDescent="0.35">
      <c r="A302" s="25" t="s">
        <v>477</v>
      </c>
      <c r="B302" s="26">
        <v>2400</v>
      </c>
      <c r="C302" s="26">
        <v>2800</v>
      </c>
    </row>
    <row r="303" spans="1:3" x14ac:dyDescent="0.35">
      <c r="A303" s="21" t="s">
        <v>381</v>
      </c>
      <c r="B303" s="22"/>
      <c r="C303" s="22"/>
    </row>
    <row r="304" spans="1:3" x14ac:dyDescent="0.35">
      <c r="A304" s="23" t="s">
        <v>79</v>
      </c>
      <c r="B304" s="26">
        <v>4504</v>
      </c>
      <c r="C304" s="26">
        <v>5845</v>
      </c>
    </row>
    <row r="305" spans="1:3" x14ac:dyDescent="0.35">
      <c r="A305" s="25" t="s">
        <v>382</v>
      </c>
      <c r="B305" s="26">
        <v>2104</v>
      </c>
      <c r="C305" s="26">
        <v>3045</v>
      </c>
    </row>
    <row r="306" spans="1:3" x14ac:dyDescent="0.35">
      <c r="A306" s="25" t="s">
        <v>498</v>
      </c>
      <c r="B306" s="26">
        <v>2400</v>
      </c>
      <c r="C306" s="26">
        <v>2800</v>
      </c>
    </row>
    <row r="307" spans="1:3" x14ac:dyDescent="0.35">
      <c r="A307" s="21" t="s">
        <v>383</v>
      </c>
      <c r="B307" s="22"/>
      <c r="C307" s="22"/>
    </row>
    <row r="308" spans="1:3" x14ac:dyDescent="0.35">
      <c r="A308" s="23" t="s">
        <v>384</v>
      </c>
      <c r="B308" s="24">
        <v>14442</v>
      </c>
      <c r="C308" s="24">
        <v>14864</v>
      </c>
    </row>
    <row r="309" spans="1:3" x14ac:dyDescent="0.35">
      <c r="A309" s="25" t="s">
        <v>72</v>
      </c>
      <c r="B309" s="24">
        <v>14442</v>
      </c>
      <c r="C309" s="24">
        <v>14864</v>
      </c>
    </row>
    <row r="310" spans="1:3" x14ac:dyDescent="0.35">
      <c r="A310" s="21" t="s">
        <v>385</v>
      </c>
      <c r="B310" s="22"/>
      <c r="C310" s="22"/>
    </row>
    <row r="311" spans="1:3" x14ac:dyDescent="0.35">
      <c r="A311" s="23" t="s">
        <v>386</v>
      </c>
      <c r="B311" s="24"/>
      <c r="C311" s="24"/>
    </row>
    <row r="312" spans="1:3" x14ac:dyDescent="0.35">
      <c r="A312" s="25" t="s">
        <v>387</v>
      </c>
      <c r="B312" s="26">
        <v>644</v>
      </c>
      <c r="C312" s="26">
        <v>695</v>
      </c>
    </row>
    <row r="313" spans="1:3" x14ac:dyDescent="0.35">
      <c r="A313" s="25" t="s">
        <v>388</v>
      </c>
      <c r="B313" s="26">
        <v>761</v>
      </c>
      <c r="C313" s="26">
        <v>820</v>
      </c>
    </row>
    <row r="314" spans="1:3" x14ac:dyDescent="0.35">
      <c r="A314" s="25" t="s">
        <v>389</v>
      </c>
      <c r="B314" s="26">
        <v>117</v>
      </c>
      <c r="C314" s="26">
        <v>125</v>
      </c>
    </row>
    <row r="315" spans="1:3" x14ac:dyDescent="0.35">
      <c r="A315" s="21" t="s">
        <v>390</v>
      </c>
      <c r="B315" s="22"/>
      <c r="C315" s="22"/>
    </row>
    <row r="316" spans="1:3" x14ac:dyDescent="0.35">
      <c r="A316" s="23" t="s">
        <v>390</v>
      </c>
      <c r="B316" s="30">
        <v>41.8</v>
      </c>
      <c r="C316" s="30">
        <v>50</v>
      </c>
    </row>
    <row r="317" spans="1:3" x14ac:dyDescent="0.35">
      <c r="A317" s="25" t="s">
        <v>391</v>
      </c>
      <c r="B317" s="30">
        <v>39.799999999999997</v>
      </c>
      <c r="C317" s="30">
        <v>47.4</v>
      </c>
    </row>
    <row r="318" spans="1:3" x14ac:dyDescent="0.35">
      <c r="A318" s="25" t="s">
        <v>392</v>
      </c>
      <c r="B318" s="30">
        <v>2</v>
      </c>
      <c r="C318" s="30">
        <v>2.6</v>
      </c>
    </row>
    <row r="319" spans="1:3" x14ac:dyDescent="0.35">
      <c r="A319" s="25" t="s">
        <v>444</v>
      </c>
      <c r="B319" s="24">
        <v>0</v>
      </c>
      <c r="C319" s="24"/>
    </row>
    <row r="320" spans="1:3" x14ac:dyDescent="0.35">
      <c r="A320" s="21" t="s">
        <v>451</v>
      </c>
      <c r="B320" s="22"/>
      <c r="C320" s="22"/>
    </row>
    <row r="321" spans="1:3" x14ac:dyDescent="0.35">
      <c r="A321" s="23" t="s">
        <v>452</v>
      </c>
      <c r="B321" s="24">
        <v>19444</v>
      </c>
      <c r="C321" s="24">
        <v>22513</v>
      </c>
    </row>
    <row r="322" spans="1:3" x14ac:dyDescent="0.35">
      <c r="A322" s="23" t="s">
        <v>622</v>
      </c>
      <c r="B322" s="30">
        <v>7.65</v>
      </c>
      <c r="C322" s="30">
        <v>8.98</v>
      </c>
    </row>
    <row r="323" spans="1:3" x14ac:dyDescent="0.35">
      <c r="A323" s="21" t="s">
        <v>393</v>
      </c>
      <c r="B323" s="22"/>
      <c r="C323" s="22"/>
    </row>
    <row r="324" spans="1:3" x14ac:dyDescent="0.35">
      <c r="A324" s="23" t="s">
        <v>394</v>
      </c>
      <c r="B324" s="24">
        <v>24026</v>
      </c>
      <c r="C324" s="24">
        <v>23547</v>
      </c>
    </row>
    <row r="325" spans="1:3" x14ac:dyDescent="0.35">
      <c r="A325" s="23" t="s">
        <v>395</v>
      </c>
      <c r="B325" s="24">
        <v>24026</v>
      </c>
      <c r="C325" s="24">
        <v>23547</v>
      </c>
    </row>
    <row r="326" spans="1:3" x14ac:dyDescent="0.35">
      <c r="A326" s="23" t="s">
        <v>396</v>
      </c>
      <c r="B326" s="24">
        <v>24010</v>
      </c>
      <c r="C326" s="24">
        <v>23538</v>
      </c>
    </row>
    <row r="327" spans="1:3" x14ac:dyDescent="0.35">
      <c r="A327" s="23" t="s">
        <v>397</v>
      </c>
      <c r="B327" s="24">
        <v>27685</v>
      </c>
      <c r="C327" s="24">
        <v>27365</v>
      </c>
    </row>
    <row r="328" spans="1:3" x14ac:dyDescent="0.35">
      <c r="A328" s="23" t="s">
        <v>398</v>
      </c>
      <c r="B328" s="24">
        <v>32189</v>
      </c>
      <c r="C328" s="24">
        <v>33210</v>
      </c>
    </row>
    <row r="329" spans="1:3" x14ac:dyDescent="0.35">
      <c r="A329" s="21" t="s">
        <v>82</v>
      </c>
      <c r="B329" s="22"/>
      <c r="C329" s="22"/>
    </row>
    <row r="330" spans="1:3" x14ac:dyDescent="0.35">
      <c r="A330" s="23" t="s">
        <v>405</v>
      </c>
      <c r="B330" s="26">
        <v>348</v>
      </c>
      <c r="C330" s="26">
        <v>423</v>
      </c>
    </row>
    <row r="331" spans="1:3" x14ac:dyDescent="0.35">
      <c r="A331" s="23" t="s">
        <v>582</v>
      </c>
      <c r="B331" s="26">
        <v>2400</v>
      </c>
      <c r="C331" s="26">
        <v>2300</v>
      </c>
    </row>
    <row r="332" spans="1:3" x14ac:dyDescent="0.35">
      <c r="A332" s="23" t="s">
        <v>406</v>
      </c>
      <c r="B332" s="24">
        <v>14698</v>
      </c>
      <c r="C332" s="24">
        <v>14898</v>
      </c>
    </row>
    <row r="333" spans="1:3" x14ac:dyDescent="0.35">
      <c r="A333" s="23" t="s">
        <v>407</v>
      </c>
      <c r="B333" s="24">
        <v>12298</v>
      </c>
      <c r="C333" s="24">
        <v>12098</v>
      </c>
    </row>
    <row r="334" spans="1:3" x14ac:dyDescent="0.35">
      <c r="A334" s="23" t="s">
        <v>408</v>
      </c>
      <c r="B334" s="26">
        <v>1271</v>
      </c>
      <c r="C334" s="26">
        <v>1357</v>
      </c>
    </row>
    <row r="335" spans="1:3" x14ac:dyDescent="0.35">
      <c r="A335" s="23" t="s">
        <v>280</v>
      </c>
      <c r="B335" s="24">
        <v>39873</v>
      </c>
      <c r="C335" s="24">
        <v>40492</v>
      </c>
    </row>
    <row r="336" spans="1:3" x14ac:dyDescent="0.35">
      <c r="A336" s="23" t="s">
        <v>70</v>
      </c>
      <c r="B336" s="24">
        <v>10733</v>
      </c>
      <c r="C336" s="24">
        <v>10730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425"/>
  <sheetViews>
    <sheetView workbookViewId="0"/>
  </sheetViews>
  <sheetFormatPr defaultRowHeight="14.5" x14ac:dyDescent="0.35"/>
  <cols>
    <col min="1" max="1" width="40.6328125" customWidth="1"/>
    <col min="2" max="3" width="15.6328125" customWidth="1"/>
  </cols>
  <sheetData>
    <row r="1" spans="1:3" x14ac:dyDescent="0.35">
      <c r="A1" s="93" t="s">
        <v>94</v>
      </c>
      <c r="B1" s="94"/>
      <c r="C1" s="94"/>
    </row>
    <row r="2" spans="1:3" x14ac:dyDescent="0.35">
      <c r="A2" s="95" t="s">
        <v>95</v>
      </c>
      <c r="B2" s="96" t="s">
        <v>623</v>
      </c>
    </row>
    <row r="3" spans="1:3" x14ac:dyDescent="0.35">
      <c r="A3" s="95" t="s">
        <v>97</v>
      </c>
      <c r="B3" s="95" t="s">
        <v>624</v>
      </c>
    </row>
    <row r="4" spans="1:3" x14ac:dyDescent="0.35">
      <c r="A4" s="95" t="s">
        <v>99</v>
      </c>
      <c r="B4" s="95" t="s">
        <v>624</v>
      </c>
    </row>
    <row r="5" spans="1:3" x14ac:dyDescent="0.35">
      <c r="A5" s="95" t="s">
        <v>100</v>
      </c>
      <c r="B5" s="95" t="s">
        <v>608</v>
      </c>
    </row>
    <row r="6" spans="1:3" x14ac:dyDescent="0.35">
      <c r="A6" s="95" t="s">
        <v>101</v>
      </c>
      <c r="B6" s="95" t="s">
        <v>102</v>
      </c>
    </row>
    <row r="7" spans="1:3" x14ac:dyDescent="0.35">
      <c r="A7" s="95" t="s">
        <v>103</v>
      </c>
      <c r="B7" s="95" t="s">
        <v>104</v>
      </c>
    </row>
    <row r="8" spans="1:3" x14ac:dyDescent="0.35">
      <c r="A8" s="95" t="s">
        <v>105</v>
      </c>
      <c r="B8" s="95" t="s">
        <v>106</v>
      </c>
    </row>
    <row r="9" spans="1:3" x14ac:dyDescent="0.35">
      <c r="A9" s="95" t="s">
        <v>107</v>
      </c>
      <c r="B9" s="95" t="s">
        <v>108</v>
      </c>
    </row>
    <row r="10" spans="1:3" x14ac:dyDescent="0.35">
      <c r="A10" s="95" t="s">
        <v>109</v>
      </c>
      <c r="B10" s="97">
        <v>46296.630842615697</v>
      </c>
    </row>
    <row r="11" spans="1:3" x14ac:dyDescent="0.35">
      <c r="A11" s="98" t="s">
        <v>110</v>
      </c>
      <c r="B11" s="99" t="s">
        <v>111</v>
      </c>
      <c r="C11" s="99" t="s">
        <v>112</v>
      </c>
    </row>
    <row r="12" spans="1:3" x14ac:dyDescent="0.35">
      <c r="A12" s="100" t="s">
        <v>113</v>
      </c>
      <c r="B12" s="101">
        <v>45657</v>
      </c>
      <c r="C12" s="101">
        <v>46022</v>
      </c>
    </row>
    <row r="13" spans="1:3" x14ac:dyDescent="0.35">
      <c r="A13" s="100" t="s">
        <v>114</v>
      </c>
      <c r="B13" s="101" t="s">
        <v>625</v>
      </c>
      <c r="C13" s="101" t="s">
        <v>625</v>
      </c>
    </row>
    <row r="14" spans="1:3" x14ac:dyDescent="0.35">
      <c r="A14" s="100" t="s">
        <v>626</v>
      </c>
      <c r="B14">
        <v>1.10229276895944</v>
      </c>
      <c r="C14">
        <v>1.2621481761958899</v>
      </c>
    </row>
    <row r="15" spans="1:3" x14ac:dyDescent="0.35">
      <c r="A15" s="102" t="s">
        <v>116</v>
      </c>
      <c r="B15" s="98"/>
      <c r="C15" s="98"/>
    </row>
    <row r="16" spans="1:3" x14ac:dyDescent="0.35">
      <c r="A16" s="102" t="s">
        <v>117</v>
      </c>
      <c r="B16" s="103" t="s">
        <v>118</v>
      </c>
      <c r="C16" s="103" t="s">
        <v>119</v>
      </c>
    </row>
    <row r="17" spans="1:3" x14ac:dyDescent="0.35">
      <c r="A17" s="104" t="s">
        <v>120</v>
      </c>
      <c r="B17" s="105"/>
      <c r="C17" s="105"/>
    </row>
    <row r="18" spans="1:3" x14ac:dyDescent="0.35">
      <c r="A18" s="106" t="s">
        <v>121</v>
      </c>
      <c r="B18" s="109">
        <v>19088.400000000001</v>
      </c>
      <c r="C18" s="109">
        <v>19533.009999999998</v>
      </c>
    </row>
    <row r="19" spans="1:3" x14ac:dyDescent="0.35">
      <c r="A19" s="108" t="s">
        <v>12</v>
      </c>
      <c r="B19" s="107">
        <v>7688.49</v>
      </c>
      <c r="C19" s="107">
        <v>7045.31</v>
      </c>
    </row>
    <row r="20" spans="1:3" x14ac:dyDescent="0.35">
      <c r="A20" s="108" t="s">
        <v>14</v>
      </c>
      <c r="B20" s="109">
        <v>11399.91</v>
      </c>
      <c r="C20" s="109">
        <v>12487.69</v>
      </c>
    </row>
    <row r="21" spans="1:3" ht="26" x14ac:dyDescent="0.35">
      <c r="A21" s="106" t="s">
        <v>627</v>
      </c>
      <c r="B21" s="107">
        <v>196.21</v>
      </c>
      <c r="C21" s="107">
        <v>137.57</v>
      </c>
    </row>
    <row r="22" spans="1:3" x14ac:dyDescent="0.35">
      <c r="A22" s="106" t="s">
        <v>122</v>
      </c>
      <c r="B22" s="109">
        <v>14864.42</v>
      </c>
      <c r="C22" s="109">
        <v>17716.77</v>
      </c>
    </row>
    <row r="23" spans="1:3" x14ac:dyDescent="0.35">
      <c r="A23" s="108" t="s">
        <v>16</v>
      </c>
      <c r="B23" s="109">
        <v>12321.43</v>
      </c>
      <c r="C23" s="109">
        <v>14384.7</v>
      </c>
    </row>
    <row r="24" spans="1:3" x14ac:dyDescent="0.35">
      <c r="A24" s="108" t="s">
        <v>123</v>
      </c>
      <c r="B24" s="109">
        <v>13732.36</v>
      </c>
      <c r="C24" s="109">
        <v>16082.29</v>
      </c>
    </row>
    <row r="25" spans="1:3" ht="26" x14ac:dyDescent="0.35">
      <c r="A25" s="108" t="s">
        <v>124</v>
      </c>
      <c r="B25" s="107">
        <v>1410.93</v>
      </c>
      <c r="C25" s="107">
        <v>1697.59</v>
      </c>
    </row>
    <row r="26" spans="1:3" x14ac:dyDescent="0.35">
      <c r="A26" s="108" t="s">
        <v>446</v>
      </c>
      <c r="B26" s="110">
        <v>72.75</v>
      </c>
      <c r="C26" s="110">
        <v>76.989999999999995</v>
      </c>
    </row>
    <row r="27" spans="1:3" x14ac:dyDescent="0.35">
      <c r="A27" s="108" t="s">
        <v>454</v>
      </c>
      <c r="B27" s="107">
        <v>1318.34</v>
      </c>
      <c r="C27" s="107">
        <v>1518.36</v>
      </c>
    </row>
    <row r="28" spans="1:3" x14ac:dyDescent="0.35">
      <c r="A28" s="108" t="s">
        <v>455</v>
      </c>
      <c r="B28" s="107">
        <v>1151.9000000000001</v>
      </c>
      <c r="C28" s="107">
        <v>1736.72</v>
      </c>
    </row>
    <row r="29" spans="1:3" x14ac:dyDescent="0.35">
      <c r="A29" s="106" t="s">
        <v>18</v>
      </c>
      <c r="B29" s="107">
        <v>8384.0400000000009</v>
      </c>
      <c r="C29" s="107">
        <v>9439.61</v>
      </c>
    </row>
    <row r="30" spans="1:3" x14ac:dyDescent="0.35">
      <c r="A30" s="108" t="s">
        <v>125</v>
      </c>
      <c r="B30" s="107">
        <v>1778</v>
      </c>
      <c r="C30" s="107">
        <v>1837.69</v>
      </c>
    </row>
    <row r="31" spans="1:3" x14ac:dyDescent="0.35">
      <c r="A31" s="108" t="s">
        <v>499</v>
      </c>
      <c r="B31" s="107">
        <v>5644.84</v>
      </c>
      <c r="C31" s="107">
        <v>6313.27</v>
      </c>
    </row>
    <row r="32" spans="1:3" x14ac:dyDescent="0.35">
      <c r="A32" s="108" t="s">
        <v>126</v>
      </c>
      <c r="B32" s="107">
        <v>1726.19</v>
      </c>
      <c r="C32" s="107">
        <v>2191.09</v>
      </c>
    </row>
    <row r="33" spans="1:3" x14ac:dyDescent="0.35">
      <c r="A33" s="108" t="s">
        <v>456</v>
      </c>
      <c r="B33" s="113">
        <v>-764.99</v>
      </c>
      <c r="C33" s="113">
        <v>-902.44</v>
      </c>
    </row>
    <row r="34" spans="1:3" x14ac:dyDescent="0.35">
      <c r="A34" s="106" t="s">
        <v>127</v>
      </c>
      <c r="B34" s="107">
        <v>1350.31</v>
      </c>
      <c r="C34" s="107">
        <v>1582.73</v>
      </c>
    </row>
    <row r="35" spans="1:3" ht="26" x14ac:dyDescent="0.35">
      <c r="A35" s="106" t="s">
        <v>628</v>
      </c>
      <c r="B35" s="109">
        <v>0</v>
      </c>
      <c r="C35" s="109"/>
    </row>
    <row r="36" spans="1:3" x14ac:dyDescent="0.35">
      <c r="A36" s="106" t="s">
        <v>410</v>
      </c>
      <c r="B36" s="107">
        <v>248.02</v>
      </c>
      <c r="C36" s="107">
        <v>472.04</v>
      </c>
    </row>
    <row r="37" spans="1:3" x14ac:dyDescent="0.35">
      <c r="A37" s="108" t="s">
        <v>20</v>
      </c>
      <c r="B37" s="107">
        <v>248.02</v>
      </c>
      <c r="C37" s="107">
        <v>472.04</v>
      </c>
    </row>
    <row r="38" spans="1:3" x14ac:dyDescent="0.35">
      <c r="A38" s="111" t="s">
        <v>22</v>
      </c>
      <c r="B38" s="112">
        <v>44131.39</v>
      </c>
      <c r="C38" s="112">
        <v>48881.74</v>
      </c>
    </row>
    <row r="39" spans="1:3" x14ac:dyDescent="0.35">
      <c r="A39" s="104" t="s">
        <v>128</v>
      </c>
      <c r="B39" s="105"/>
      <c r="C39" s="105"/>
    </row>
    <row r="40" spans="1:3" x14ac:dyDescent="0.35">
      <c r="A40" s="106" t="s">
        <v>25</v>
      </c>
      <c r="B40" s="107">
        <v>661.38</v>
      </c>
      <c r="C40" s="107">
        <v>690.4</v>
      </c>
    </row>
    <row r="41" spans="1:3" ht="26" x14ac:dyDescent="0.35">
      <c r="A41" s="108" t="s">
        <v>129</v>
      </c>
      <c r="B41" s="107">
        <v>661.38</v>
      </c>
      <c r="C41" s="107">
        <v>690.4</v>
      </c>
    </row>
    <row r="42" spans="1:3" ht="26" x14ac:dyDescent="0.35">
      <c r="A42" s="106" t="s">
        <v>130</v>
      </c>
      <c r="B42" s="107">
        <v>284.39</v>
      </c>
      <c r="C42" s="107">
        <v>325.63</v>
      </c>
    </row>
    <row r="43" spans="1:3" x14ac:dyDescent="0.35">
      <c r="A43" s="106" t="s">
        <v>131</v>
      </c>
      <c r="B43" s="107">
        <v>146.6</v>
      </c>
      <c r="C43" s="107">
        <v>402.63</v>
      </c>
    </row>
    <row r="44" spans="1:3" ht="26" x14ac:dyDescent="0.35">
      <c r="A44" s="108" t="s">
        <v>132</v>
      </c>
      <c r="B44" s="110">
        <v>34.17</v>
      </c>
      <c r="C44" s="110">
        <v>41.65</v>
      </c>
    </row>
    <row r="45" spans="1:3" x14ac:dyDescent="0.35">
      <c r="A45" s="108" t="s">
        <v>412</v>
      </c>
      <c r="B45" s="110">
        <v>7.72</v>
      </c>
      <c r="C45" s="110">
        <v>7.57</v>
      </c>
    </row>
    <row r="46" spans="1:3" x14ac:dyDescent="0.35">
      <c r="A46" s="108" t="s">
        <v>457</v>
      </c>
      <c r="B46" s="107">
        <v>104.72</v>
      </c>
      <c r="C46" s="107">
        <v>353.4</v>
      </c>
    </row>
    <row r="47" spans="1:3" x14ac:dyDescent="0.35">
      <c r="A47" s="106" t="s">
        <v>27</v>
      </c>
      <c r="B47" s="109">
        <v>26168.43</v>
      </c>
      <c r="C47" s="109">
        <v>28946.11</v>
      </c>
    </row>
    <row r="48" spans="1:3" ht="26" x14ac:dyDescent="0.35">
      <c r="A48" s="108" t="s">
        <v>133</v>
      </c>
      <c r="B48" s="109">
        <v>26168.43</v>
      </c>
      <c r="C48" s="109">
        <v>28946.11</v>
      </c>
    </row>
    <row r="49" spans="1:3" x14ac:dyDescent="0.35">
      <c r="A49" s="108" t="s">
        <v>500</v>
      </c>
      <c r="B49" s="109">
        <v>13692.68</v>
      </c>
      <c r="C49" s="109">
        <v>14705.29</v>
      </c>
    </row>
    <row r="50" spans="1:3" x14ac:dyDescent="0.35">
      <c r="A50" s="108" t="s">
        <v>501</v>
      </c>
      <c r="B50" s="107">
        <v>1276.46</v>
      </c>
      <c r="C50" s="107">
        <v>1620.6</v>
      </c>
    </row>
    <row r="51" spans="1:3" x14ac:dyDescent="0.35">
      <c r="A51" s="108" t="s">
        <v>502</v>
      </c>
      <c r="B51" s="109">
        <v>12416.23</v>
      </c>
      <c r="C51" s="109">
        <v>13084.69</v>
      </c>
    </row>
    <row r="52" spans="1:3" x14ac:dyDescent="0.35">
      <c r="A52" s="108" t="s">
        <v>504</v>
      </c>
      <c r="B52" s="107">
        <v>7500</v>
      </c>
      <c r="C52" s="107">
        <v>8519.5</v>
      </c>
    </row>
    <row r="53" spans="1:3" x14ac:dyDescent="0.35">
      <c r="A53" s="108" t="s">
        <v>505</v>
      </c>
      <c r="B53" s="107">
        <v>3671.74</v>
      </c>
      <c r="C53" s="107">
        <v>4478.1000000000004</v>
      </c>
    </row>
    <row r="54" spans="1:3" x14ac:dyDescent="0.35">
      <c r="A54" s="108" t="s">
        <v>414</v>
      </c>
      <c r="B54" s="107">
        <v>1304.01</v>
      </c>
      <c r="C54" s="107">
        <v>1243.22</v>
      </c>
    </row>
    <row r="55" spans="1:3" ht="26" x14ac:dyDescent="0.35">
      <c r="A55" s="108" t="s">
        <v>506</v>
      </c>
      <c r="B55" s="107">
        <v>1304.01</v>
      </c>
      <c r="C55" s="107">
        <v>1243.22</v>
      </c>
    </row>
    <row r="56" spans="1:3" x14ac:dyDescent="0.35">
      <c r="A56" s="108" t="s">
        <v>134</v>
      </c>
      <c r="B56" s="109">
        <v>54433.42</v>
      </c>
      <c r="C56" s="109">
        <v>61050.11</v>
      </c>
    </row>
    <row r="57" spans="1:3" ht="26" x14ac:dyDescent="0.35">
      <c r="A57" s="108" t="s">
        <v>135</v>
      </c>
      <c r="B57" s="109">
        <v>54433.42</v>
      </c>
      <c r="C57" s="109">
        <v>61050.11</v>
      </c>
    </row>
    <row r="58" spans="1:3" x14ac:dyDescent="0.35">
      <c r="A58" s="108" t="s">
        <v>458</v>
      </c>
      <c r="B58" s="109">
        <v>24056.44</v>
      </c>
      <c r="C58" s="109">
        <v>26712.1</v>
      </c>
    </row>
    <row r="59" spans="1:3" x14ac:dyDescent="0.35">
      <c r="A59" s="108" t="s">
        <v>459</v>
      </c>
      <c r="B59" s="107">
        <v>1276.46</v>
      </c>
      <c r="C59" s="107">
        <v>1620.6</v>
      </c>
    </row>
    <row r="60" spans="1:3" x14ac:dyDescent="0.35">
      <c r="A60" s="108" t="s">
        <v>460</v>
      </c>
      <c r="B60" s="109">
        <v>22779.98</v>
      </c>
      <c r="C60" s="109">
        <v>25091.51</v>
      </c>
    </row>
    <row r="61" spans="1:3" x14ac:dyDescent="0.35">
      <c r="A61" s="108" t="s">
        <v>447</v>
      </c>
      <c r="B61" s="109">
        <v>23331.13</v>
      </c>
      <c r="C61" s="109">
        <v>26388.99</v>
      </c>
    </row>
    <row r="62" spans="1:3" x14ac:dyDescent="0.35">
      <c r="A62" s="108" t="s">
        <v>462</v>
      </c>
      <c r="B62" s="107">
        <v>4208.55</v>
      </c>
      <c r="C62" s="107">
        <v>5139.47</v>
      </c>
    </row>
    <row r="63" spans="1:3" x14ac:dyDescent="0.35">
      <c r="A63" s="108" t="s">
        <v>136</v>
      </c>
      <c r="B63" s="107">
        <v>2837.3</v>
      </c>
      <c r="C63" s="107">
        <v>2809.54</v>
      </c>
    </row>
    <row r="64" spans="1:3" ht="26" x14ac:dyDescent="0.35">
      <c r="A64" s="108" t="s">
        <v>463</v>
      </c>
      <c r="B64" s="107">
        <v>2837.3</v>
      </c>
      <c r="C64" s="107">
        <v>2809.54</v>
      </c>
    </row>
    <row r="65" spans="1:3" ht="26" x14ac:dyDescent="0.35">
      <c r="A65" s="108" t="s">
        <v>139</v>
      </c>
      <c r="B65" s="109">
        <v>28264.99</v>
      </c>
      <c r="C65" s="109">
        <v>32104</v>
      </c>
    </row>
    <row r="66" spans="1:3" ht="39" x14ac:dyDescent="0.35">
      <c r="A66" s="108" t="s">
        <v>140</v>
      </c>
      <c r="B66" s="109">
        <v>28264.99</v>
      </c>
      <c r="C66" s="109">
        <v>32104</v>
      </c>
    </row>
    <row r="67" spans="1:3" ht="26" x14ac:dyDescent="0.35">
      <c r="A67" s="108" t="s">
        <v>508</v>
      </c>
      <c r="B67" s="109">
        <v>10363.76</v>
      </c>
      <c r="C67" s="109">
        <v>12006.82</v>
      </c>
    </row>
    <row r="68" spans="1:3" ht="26" x14ac:dyDescent="0.35">
      <c r="A68" s="108" t="s">
        <v>509</v>
      </c>
      <c r="B68" s="109">
        <v>0</v>
      </c>
      <c r="C68" s="109">
        <v>0</v>
      </c>
    </row>
    <row r="69" spans="1:3" ht="26" x14ac:dyDescent="0.35">
      <c r="A69" s="108" t="s">
        <v>510</v>
      </c>
      <c r="B69" s="109">
        <v>10363.76</v>
      </c>
      <c r="C69" s="109">
        <v>12006.82</v>
      </c>
    </row>
    <row r="70" spans="1:3" ht="26" x14ac:dyDescent="0.35">
      <c r="A70" s="108" t="s">
        <v>512</v>
      </c>
      <c r="B70" s="109">
        <v>15831.13</v>
      </c>
      <c r="C70" s="109">
        <v>17869.490000000002</v>
      </c>
    </row>
    <row r="71" spans="1:3" ht="26" x14ac:dyDescent="0.35">
      <c r="A71" s="108" t="s">
        <v>513</v>
      </c>
      <c r="B71" s="107">
        <v>536.82000000000005</v>
      </c>
      <c r="C71" s="107">
        <v>661.37</v>
      </c>
    </row>
    <row r="72" spans="1:3" ht="26" x14ac:dyDescent="0.35">
      <c r="A72" s="108" t="s">
        <v>629</v>
      </c>
      <c r="B72" s="107">
        <v>1533.29</v>
      </c>
      <c r="C72" s="107">
        <v>1566.33</v>
      </c>
    </row>
    <row r="73" spans="1:3" ht="26" x14ac:dyDescent="0.35">
      <c r="A73" s="108" t="s">
        <v>630</v>
      </c>
      <c r="B73" s="107">
        <v>1533.29</v>
      </c>
      <c r="C73" s="107">
        <v>1566.33</v>
      </c>
    </row>
    <row r="74" spans="1:3" x14ac:dyDescent="0.35">
      <c r="A74" s="106" t="s">
        <v>141</v>
      </c>
      <c r="B74" s="109">
        <v>13067.68</v>
      </c>
      <c r="C74" s="109">
        <v>14013.63</v>
      </c>
    </row>
    <row r="75" spans="1:3" x14ac:dyDescent="0.35">
      <c r="A75" s="108" t="s">
        <v>142</v>
      </c>
      <c r="B75" s="110">
        <v>1.1000000000000001</v>
      </c>
      <c r="C75" s="110">
        <v>1.26</v>
      </c>
    </row>
    <row r="76" spans="1:3" x14ac:dyDescent="0.35">
      <c r="A76" s="108" t="s">
        <v>419</v>
      </c>
      <c r="B76" s="107">
        <v>9445.5499999999993</v>
      </c>
      <c r="C76" s="109">
        <v>10615.93</v>
      </c>
    </row>
    <row r="77" spans="1:3" x14ac:dyDescent="0.35">
      <c r="A77" s="108" t="s">
        <v>631</v>
      </c>
      <c r="B77" s="107">
        <v>2714.95</v>
      </c>
      <c r="C77" s="107">
        <v>2331.19</v>
      </c>
    </row>
    <row r="78" spans="1:3" x14ac:dyDescent="0.35">
      <c r="A78" s="108" t="s">
        <v>31</v>
      </c>
      <c r="B78" s="107">
        <v>906.08</v>
      </c>
      <c r="C78" s="107">
        <v>1065.25</v>
      </c>
    </row>
    <row r="79" spans="1:3" x14ac:dyDescent="0.35">
      <c r="A79" s="106" t="s">
        <v>29</v>
      </c>
      <c r="B79" s="109">
        <v>27754.63</v>
      </c>
      <c r="C79" s="109">
        <v>33841.980000000003</v>
      </c>
    </row>
    <row r="80" spans="1:3" x14ac:dyDescent="0.35">
      <c r="A80" s="108" t="s">
        <v>421</v>
      </c>
      <c r="B80" s="107">
        <v>8681.66</v>
      </c>
      <c r="C80" s="107">
        <v>9456.01</v>
      </c>
    </row>
    <row r="81" spans="1:3" x14ac:dyDescent="0.35">
      <c r="A81" s="108" t="s">
        <v>464</v>
      </c>
      <c r="B81" s="109">
        <v>19072.97</v>
      </c>
      <c r="C81" s="109">
        <v>24385.96</v>
      </c>
    </row>
    <row r="82" spans="1:3" ht="26" x14ac:dyDescent="0.35">
      <c r="A82" s="108" t="s">
        <v>490</v>
      </c>
      <c r="B82" s="107">
        <v>375.88</v>
      </c>
      <c r="C82" s="107">
        <v>421.56</v>
      </c>
    </row>
    <row r="83" spans="1:3" x14ac:dyDescent="0.35">
      <c r="A83" s="108" t="s">
        <v>491</v>
      </c>
      <c r="B83" s="109">
        <v>18697.09</v>
      </c>
      <c r="C83" s="109">
        <v>23964.41</v>
      </c>
    </row>
    <row r="84" spans="1:3" x14ac:dyDescent="0.35">
      <c r="A84" s="108" t="s">
        <v>515</v>
      </c>
      <c r="B84" s="109">
        <v>68586.86</v>
      </c>
      <c r="C84" s="109">
        <v>67849.3</v>
      </c>
    </row>
    <row r="85" spans="1:3" ht="26" x14ac:dyDescent="0.35">
      <c r="A85" s="108" t="s">
        <v>632</v>
      </c>
      <c r="B85" s="109">
        <v>17337.96</v>
      </c>
      <c r="C85" s="109">
        <v>16207.24</v>
      </c>
    </row>
    <row r="86" spans="1:3" x14ac:dyDescent="0.35">
      <c r="A86" s="108" t="s">
        <v>516</v>
      </c>
      <c r="B86" s="109">
        <v>51248.9</v>
      </c>
      <c r="C86" s="109">
        <v>51642.05</v>
      </c>
    </row>
    <row r="87" spans="1:3" ht="26" x14ac:dyDescent="0.35">
      <c r="A87" s="108" t="s">
        <v>518</v>
      </c>
      <c r="B87" s="107">
        <v>2287.2600000000002</v>
      </c>
      <c r="C87" s="107">
        <v>2403.13</v>
      </c>
    </row>
    <row r="88" spans="1:3" x14ac:dyDescent="0.35">
      <c r="A88" s="108" t="s">
        <v>633</v>
      </c>
      <c r="B88" s="109">
        <v>48961.64</v>
      </c>
      <c r="C88" s="109">
        <v>49238.92</v>
      </c>
    </row>
    <row r="89" spans="1:3" ht="26" x14ac:dyDescent="0.35">
      <c r="A89" s="108" t="s">
        <v>519</v>
      </c>
      <c r="B89" s="109">
        <v>40832.230000000003</v>
      </c>
      <c r="C89" s="109">
        <v>34007.32</v>
      </c>
    </row>
    <row r="90" spans="1:3" ht="26" x14ac:dyDescent="0.35">
      <c r="A90" s="108" t="s">
        <v>634</v>
      </c>
      <c r="B90" s="107">
        <v>8656.31</v>
      </c>
      <c r="C90" s="107">
        <v>6751.23</v>
      </c>
    </row>
    <row r="91" spans="1:3" ht="26" x14ac:dyDescent="0.35">
      <c r="A91" s="108" t="s">
        <v>520</v>
      </c>
      <c r="B91" s="109">
        <v>32175.93</v>
      </c>
      <c r="C91" s="109">
        <v>27256.09</v>
      </c>
    </row>
    <row r="92" spans="1:3" ht="39" x14ac:dyDescent="0.35">
      <c r="A92" s="108" t="s">
        <v>522</v>
      </c>
      <c r="B92" s="107">
        <v>1911.38</v>
      </c>
      <c r="C92" s="107">
        <v>1981.57</v>
      </c>
    </row>
    <row r="93" spans="1:3" ht="26" x14ac:dyDescent="0.35">
      <c r="A93" s="108" t="s">
        <v>635</v>
      </c>
      <c r="B93" s="109">
        <v>30264.55</v>
      </c>
      <c r="C93" s="109">
        <v>25274.52</v>
      </c>
    </row>
    <row r="94" spans="1:3" x14ac:dyDescent="0.35">
      <c r="A94" s="111" t="s">
        <v>33</v>
      </c>
      <c r="B94" s="112">
        <v>68083.11</v>
      </c>
      <c r="C94" s="112">
        <v>78220.37</v>
      </c>
    </row>
    <row r="95" spans="1:3" x14ac:dyDescent="0.35">
      <c r="A95" s="104" t="s">
        <v>35</v>
      </c>
      <c r="B95" s="105"/>
      <c r="C95" s="105"/>
    </row>
    <row r="96" spans="1:3" x14ac:dyDescent="0.35">
      <c r="A96" s="111" t="s">
        <v>35</v>
      </c>
      <c r="B96" s="112">
        <v>112214.51</v>
      </c>
      <c r="C96" s="112">
        <v>127102.11</v>
      </c>
    </row>
    <row r="97" spans="1:3" x14ac:dyDescent="0.35">
      <c r="A97" s="104" t="s">
        <v>143</v>
      </c>
      <c r="B97" s="105"/>
      <c r="C97" s="105"/>
    </row>
    <row r="98" spans="1:3" x14ac:dyDescent="0.35">
      <c r="A98" s="106" t="s">
        <v>144</v>
      </c>
      <c r="B98" s="109">
        <v>18061.07</v>
      </c>
      <c r="C98" s="109">
        <v>20371.07</v>
      </c>
    </row>
    <row r="99" spans="1:3" ht="26" x14ac:dyDescent="0.35">
      <c r="A99" s="108" t="s">
        <v>37</v>
      </c>
      <c r="B99" s="107">
        <v>4391.53</v>
      </c>
      <c r="C99" s="107">
        <v>5347.72</v>
      </c>
    </row>
    <row r="100" spans="1:3" x14ac:dyDescent="0.35">
      <c r="A100" s="108" t="s">
        <v>145</v>
      </c>
      <c r="B100" s="109">
        <v>13669.53</v>
      </c>
      <c r="C100" s="109">
        <v>15023.35</v>
      </c>
    </row>
    <row r="101" spans="1:3" ht="26" x14ac:dyDescent="0.35">
      <c r="A101" s="106" t="s">
        <v>39</v>
      </c>
      <c r="B101" s="107">
        <v>4692.46</v>
      </c>
      <c r="C101" s="107">
        <v>5701.12</v>
      </c>
    </row>
    <row r="102" spans="1:3" x14ac:dyDescent="0.35">
      <c r="A102" s="108" t="s">
        <v>422</v>
      </c>
      <c r="B102" s="107">
        <v>501.54</v>
      </c>
      <c r="C102" s="107">
        <v>1725.36</v>
      </c>
    </row>
    <row r="103" spans="1:3" ht="26" x14ac:dyDescent="0.35">
      <c r="A103" s="108" t="s">
        <v>146</v>
      </c>
      <c r="B103" s="107">
        <v>4190.92</v>
      </c>
      <c r="C103" s="107">
        <v>3975.77</v>
      </c>
    </row>
    <row r="104" spans="1:3" ht="26" x14ac:dyDescent="0.35">
      <c r="A104" s="108" t="s">
        <v>147</v>
      </c>
      <c r="B104" s="107">
        <v>3832.67</v>
      </c>
      <c r="C104" s="107">
        <v>3583.24</v>
      </c>
    </row>
    <row r="105" spans="1:3" x14ac:dyDescent="0.35">
      <c r="A105" s="108" t="s">
        <v>148</v>
      </c>
      <c r="B105" s="107">
        <v>358.25</v>
      </c>
      <c r="C105" s="107">
        <v>392.53</v>
      </c>
    </row>
    <row r="106" spans="1:3" x14ac:dyDescent="0.35">
      <c r="A106" s="106" t="s">
        <v>636</v>
      </c>
      <c r="B106" s="107">
        <v>209.44</v>
      </c>
      <c r="C106" s="107">
        <v>803.99</v>
      </c>
    </row>
    <row r="107" spans="1:3" ht="26" x14ac:dyDescent="0.35">
      <c r="A107" s="106" t="s">
        <v>637</v>
      </c>
      <c r="B107" s="109">
        <v>0</v>
      </c>
      <c r="C107" s="109"/>
    </row>
    <row r="108" spans="1:3" x14ac:dyDescent="0.35">
      <c r="A108" s="106" t="s">
        <v>149</v>
      </c>
      <c r="B108" s="107">
        <v>3222</v>
      </c>
      <c r="C108" s="107">
        <v>3618.58</v>
      </c>
    </row>
    <row r="109" spans="1:3" x14ac:dyDescent="0.35">
      <c r="A109" s="106" t="s">
        <v>610</v>
      </c>
      <c r="B109" s="110">
        <v>3.31</v>
      </c>
      <c r="C109" s="110">
        <v>3.79</v>
      </c>
    </row>
    <row r="110" spans="1:3" x14ac:dyDescent="0.35">
      <c r="A110" s="106" t="s">
        <v>423</v>
      </c>
      <c r="B110" s="107">
        <v>3598.99</v>
      </c>
      <c r="C110" s="107">
        <v>4842.8599999999997</v>
      </c>
    </row>
    <row r="111" spans="1:3" x14ac:dyDescent="0.35">
      <c r="A111" s="108" t="s">
        <v>465</v>
      </c>
      <c r="B111" s="107">
        <v>891.75</v>
      </c>
      <c r="C111" s="107">
        <v>999.62</v>
      </c>
    </row>
    <row r="112" spans="1:3" x14ac:dyDescent="0.35">
      <c r="A112" s="108" t="s">
        <v>466</v>
      </c>
      <c r="B112" s="107">
        <v>1902.56</v>
      </c>
      <c r="C112" s="107">
        <v>2199.92</v>
      </c>
    </row>
    <row r="113" spans="1:3" x14ac:dyDescent="0.35">
      <c r="A113" s="108" t="s">
        <v>41</v>
      </c>
      <c r="B113" s="107">
        <v>804.67</v>
      </c>
      <c r="C113" s="107">
        <v>1643.32</v>
      </c>
    </row>
    <row r="114" spans="1:3" x14ac:dyDescent="0.35">
      <c r="A114" s="111" t="s">
        <v>43</v>
      </c>
      <c r="B114" s="112">
        <v>29787.26</v>
      </c>
      <c r="C114" s="112">
        <v>35341.410000000003</v>
      </c>
    </row>
    <row r="115" spans="1:3" x14ac:dyDescent="0.35">
      <c r="A115" s="104" t="s">
        <v>151</v>
      </c>
      <c r="B115" s="105"/>
      <c r="C115" s="105"/>
    </row>
    <row r="116" spans="1:3" x14ac:dyDescent="0.35">
      <c r="A116" s="106" t="s">
        <v>45</v>
      </c>
      <c r="B116" s="109">
        <v>35380.29</v>
      </c>
      <c r="C116" s="109">
        <v>36190.839999999997</v>
      </c>
    </row>
    <row r="117" spans="1:3" x14ac:dyDescent="0.35">
      <c r="A117" s="108" t="s">
        <v>152</v>
      </c>
      <c r="B117" s="109">
        <v>33864.639999999999</v>
      </c>
      <c r="C117" s="109">
        <v>34620.720000000001</v>
      </c>
    </row>
    <row r="118" spans="1:3" x14ac:dyDescent="0.35">
      <c r="A118" s="108" t="s">
        <v>153</v>
      </c>
      <c r="B118" s="109">
        <v>33864.639999999999</v>
      </c>
      <c r="C118" s="109">
        <v>34620.720000000001</v>
      </c>
    </row>
    <row r="119" spans="1:3" x14ac:dyDescent="0.35">
      <c r="A119" s="108" t="s">
        <v>154</v>
      </c>
      <c r="B119" s="107">
        <v>1515.65</v>
      </c>
      <c r="C119" s="107">
        <v>1570.11</v>
      </c>
    </row>
    <row r="120" spans="1:3" x14ac:dyDescent="0.35">
      <c r="A120" s="106" t="s">
        <v>155</v>
      </c>
      <c r="B120" s="107">
        <v>917.11</v>
      </c>
      <c r="C120" s="107">
        <v>1115.74</v>
      </c>
    </row>
    <row r="121" spans="1:3" x14ac:dyDescent="0.35">
      <c r="A121" s="108" t="s">
        <v>156</v>
      </c>
      <c r="B121" s="107">
        <v>917.11</v>
      </c>
      <c r="C121" s="107">
        <v>1115.74</v>
      </c>
    </row>
    <row r="122" spans="1:3" x14ac:dyDescent="0.35">
      <c r="A122" s="106" t="s">
        <v>158</v>
      </c>
      <c r="B122" s="107">
        <v>6269.84</v>
      </c>
      <c r="C122" s="107">
        <v>6643.95</v>
      </c>
    </row>
    <row r="123" spans="1:3" x14ac:dyDescent="0.35">
      <c r="A123" s="108" t="s">
        <v>159</v>
      </c>
      <c r="B123" s="107">
        <v>6018.52</v>
      </c>
      <c r="C123" s="107">
        <v>6317.05</v>
      </c>
    </row>
    <row r="124" spans="1:3" ht="26" x14ac:dyDescent="0.35">
      <c r="A124" s="108" t="s">
        <v>160</v>
      </c>
      <c r="B124" s="107">
        <v>4829.1400000000003</v>
      </c>
      <c r="C124" s="107">
        <v>4985.49</v>
      </c>
    </row>
    <row r="125" spans="1:3" x14ac:dyDescent="0.35">
      <c r="A125" s="108" t="s">
        <v>638</v>
      </c>
      <c r="B125" s="110">
        <v>11.02</v>
      </c>
      <c r="C125" s="110">
        <v>21.46</v>
      </c>
    </row>
    <row r="126" spans="1:3" x14ac:dyDescent="0.35">
      <c r="A126" s="108" t="s">
        <v>639</v>
      </c>
      <c r="B126" s="107">
        <v>335.1</v>
      </c>
      <c r="C126" s="107">
        <v>398.84</v>
      </c>
    </row>
    <row r="127" spans="1:3" x14ac:dyDescent="0.35">
      <c r="A127" s="108" t="s">
        <v>469</v>
      </c>
      <c r="B127" s="107">
        <v>253.53</v>
      </c>
      <c r="C127" s="107">
        <v>220.88</v>
      </c>
    </row>
    <row r="128" spans="1:3" x14ac:dyDescent="0.35">
      <c r="A128" s="108" t="s">
        <v>640</v>
      </c>
      <c r="B128" s="107">
        <v>589.73</v>
      </c>
      <c r="C128" s="107">
        <v>690.4</v>
      </c>
    </row>
    <row r="129" spans="1:3" x14ac:dyDescent="0.35">
      <c r="A129" s="108" t="s">
        <v>523</v>
      </c>
      <c r="B129" s="107">
        <v>176.37</v>
      </c>
      <c r="C129" s="107">
        <v>146.41</v>
      </c>
    </row>
    <row r="130" spans="1:3" x14ac:dyDescent="0.35">
      <c r="A130" s="108" t="s">
        <v>47</v>
      </c>
      <c r="B130" s="110">
        <v>74.959999999999994</v>
      </c>
      <c r="C130" s="107">
        <v>180.49</v>
      </c>
    </row>
    <row r="131" spans="1:3" x14ac:dyDescent="0.35">
      <c r="A131" s="106" t="s">
        <v>49</v>
      </c>
      <c r="B131" s="109">
        <v>42567.24</v>
      </c>
      <c r="C131" s="109">
        <v>43950.52</v>
      </c>
    </row>
    <row r="132" spans="1:3" x14ac:dyDescent="0.35">
      <c r="A132" s="104" t="s">
        <v>51</v>
      </c>
      <c r="B132" s="105"/>
      <c r="C132" s="105"/>
    </row>
    <row r="133" spans="1:3" x14ac:dyDescent="0.35">
      <c r="A133" s="111" t="s">
        <v>51</v>
      </c>
      <c r="B133" s="112">
        <v>72354.5</v>
      </c>
      <c r="C133" s="112">
        <v>79291.929999999993</v>
      </c>
    </row>
    <row r="134" spans="1:3" x14ac:dyDescent="0.35">
      <c r="A134" s="104" t="s">
        <v>162</v>
      </c>
      <c r="B134" s="105"/>
      <c r="C134" s="105"/>
    </row>
    <row r="135" spans="1:3" ht="26" x14ac:dyDescent="0.35">
      <c r="A135" s="106" t="s">
        <v>163</v>
      </c>
      <c r="B135" s="109">
        <v>35016.53</v>
      </c>
      <c r="C135" s="109">
        <v>42663.13</v>
      </c>
    </row>
    <row r="136" spans="1:3" ht="26" x14ac:dyDescent="0.35">
      <c r="A136" s="108" t="s">
        <v>164</v>
      </c>
      <c r="B136" s="109">
        <v>35016.53</v>
      </c>
      <c r="C136" s="109">
        <v>42663.13</v>
      </c>
    </row>
    <row r="137" spans="1:3" x14ac:dyDescent="0.35">
      <c r="A137" s="108" t="s">
        <v>166</v>
      </c>
      <c r="B137" s="107">
        <v>117.95</v>
      </c>
      <c r="C137" s="107">
        <v>135.05000000000001</v>
      </c>
    </row>
    <row r="138" spans="1:3" x14ac:dyDescent="0.35">
      <c r="A138" s="108" t="s">
        <v>167</v>
      </c>
      <c r="B138" s="107">
        <v>117.95</v>
      </c>
      <c r="C138" s="107">
        <v>135.05000000000001</v>
      </c>
    </row>
    <row r="139" spans="1:3" ht="26" x14ac:dyDescent="0.35">
      <c r="A139" s="108" t="s">
        <v>169</v>
      </c>
      <c r="B139" s="109">
        <v>34898.589999999997</v>
      </c>
      <c r="C139" s="109">
        <v>42528.08</v>
      </c>
    </row>
    <row r="140" spans="1:3" x14ac:dyDescent="0.35">
      <c r="A140" s="108" t="s">
        <v>170</v>
      </c>
      <c r="B140" s="109">
        <v>48326.720000000001</v>
      </c>
      <c r="C140" s="109">
        <v>61639.53</v>
      </c>
    </row>
    <row r="141" spans="1:3" x14ac:dyDescent="0.35">
      <c r="A141" s="108" t="s">
        <v>171</v>
      </c>
      <c r="B141" s="117">
        <v>-13428.13</v>
      </c>
      <c r="C141" s="117">
        <v>-19111.45</v>
      </c>
    </row>
    <row r="142" spans="1:3" x14ac:dyDescent="0.35">
      <c r="A142" s="108" t="s">
        <v>172</v>
      </c>
      <c r="B142" s="114">
        <v>-30.86</v>
      </c>
      <c r="C142" s="113">
        <v>-236.02</v>
      </c>
    </row>
    <row r="143" spans="1:3" x14ac:dyDescent="0.35">
      <c r="A143" s="108" t="s">
        <v>173</v>
      </c>
      <c r="B143" s="114">
        <v>-45.19</v>
      </c>
      <c r="C143" s="113">
        <v>-165.34</v>
      </c>
    </row>
    <row r="144" spans="1:3" ht="26" x14ac:dyDescent="0.35">
      <c r="A144" s="108" t="s">
        <v>174</v>
      </c>
      <c r="B144" s="117">
        <v>-13352.07</v>
      </c>
      <c r="C144" s="117">
        <v>-18710.080000000002</v>
      </c>
    </row>
    <row r="145" spans="1:3" x14ac:dyDescent="0.35">
      <c r="A145" s="108" t="s">
        <v>53</v>
      </c>
      <c r="B145" s="109">
        <v>35016.53</v>
      </c>
      <c r="C145" s="109">
        <v>42663.13</v>
      </c>
    </row>
    <row r="146" spans="1:3" x14ac:dyDescent="0.35">
      <c r="A146" s="106" t="s">
        <v>428</v>
      </c>
      <c r="B146" s="107">
        <v>4843.47</v>
      </c>
      <c r="C146" s="107">
        <v>5147.04</v>
      </c>
    </row>
    <row r="147" spans="1:3" x14ac:dyDescent="0.35">
      <c r="A147" s="104" t="s">
        <v>176</v>
      </c>
      <c r="B147" s="105"/>
      <c r="C147" s="105"/>
    </row>
    <row r="148" spans="1:3" ht="26" x14ac:dyDescent="0.35">
      <c r="A148" s="111" t="s">
        <v>57</v>
      </c>
      <c r="B148" s="112">
        <v>39860.01</v>
      </c>
      <c r="C148" s="112">
        <v>47810.17</v>
      </c>
    </row>
    <row r="149" spans="1:3" x14ac:dyDescent="0.35">
      <c r="A149" s="104" t="s">
        <v>177</v>
      </c>
      <c r="B149" s="105"/>
      <c r="C149" s="105"/>
    </row>
    <row r="150" spans="1:3" x14ac:dyDescent="0.35">
      <c r="A150" s="111" t="s">
        <v>60</v>
      </c>
      <c r="B150" s="112">
        <v>112214.51</v>
      </c>
      <c r="C150" s="112">
        <v>127102.11</v>
      </c>
    </row>
    <row r="151" spans="1:3" x14ac:dyDescent="0.35">
      <c r="A151" s="104" t="s">
        <v>178</v>
      </c>
      <c r="B151" s="105"/>
      <c r="C151" s="105"/>
    </row>
    <row r="152" spans="1:3" x14ac:dyDescent="0.35">
      <c r="A152" s="106" t="s">
        <v>179</v>
      </c>
      <c r="B152" s="107">
        <v>809.25</v>
      </c>
      <c r="C152" s="107">
        <v>809.25</v>
      </c>
    </row>
    <row r="153" spans="1:3" x14ac:dyDescent="0.35">
      <c r="A153" s="108" t="s">
        <v>180</v>
      </c>
      <c r="B153" s="107">
        <v>795.4</v>
      </c>
      <c r="C153" s="107">
        <v>795.62</v>
      </c>
    </row>
    <row r="154" spans="1:3" x14ac:dyDescent="0.35">
      <c r="A154" s="108" t="s">
        <v>181</v>
      </c>
      <c r="B154" s="110">
        <v>13.85</v>
      </c>
      <c r="C154" s="110">
        <v>13.64</v>
      </c>
    </row>
    <row r="155" spans="1:3" x14ac:dyDescent="0.35">
      <c r="A155" s="106" t="s">
        <v>183</v>
      </c>
      <c r="B155" s="107">
        <v>702.56</v>
      </c>
      <c r="C155" s="107">
        <v>702.56</v>
      </c>
    </row>
    <row r="156" spans="1:3" x14ac:dyDescent="0.35">
      <c r="A156" s="108" t="s">
        <v>184</v>
      </c>
      <c r="B156" s="107">
        <v>688.71</v>
      </c>
      <c r="C156" s="107">
        <v>688.93</v>
      </c>
    </row>
    <row r="157" spans="1:3" x14ac:dyDescent="0.35">
      <c r="A157" s="108" t="s">
        <v>185</v>
      </c>
      <c r="B157" s="110">
        <v>13.85</v>
      </c>
      <c r="C157" s="110">
        <v>13.64</v>
      </c>
    </row>
    <row r="158" spans="1:3" x14ac:dyDescent="0.35">
      <c r="A158" s="106" t="s">
        <v>183</v>
      </c>
      <c r="B158" s="107">
        <v>106.69</v>
      </c>
      <c r="C158" s="107">
        <v>106.69</v>
      </c>
    </row>
    <row r="159" spans="1:3" x14ac:dyDescent="0.35">
      <c r="A159" s="108" t="s">
        <v>184</v>
      </c>
      <c r="B159" s="107">
        <v>106.69</v>
      </c>
      <c r="C159" s="107">
        <v>106.69</v>
      </c>
    </row>
    <row r="160" spans="1:3" x14ac:dyDescent="0.35">
      <c r="A160" s="108" t="s">
        <v>185</v>
      </c>
      <c r="B160" s="109">
        <v>0</v>
      </c>
      <c r="C160" s="109">
        <v>0</v>
      </c>
    </row>
    <row r="161" spans="1:3" x14ac:dyDescent="0.35">
      <c r="A161" s="106" t="s">
        <v>524</v>
      </c>
      <c r="B161" s="107">
        <v>5620.5</v>
      </c>
      <c r="C161" s="107">
        <v>5620.5</v>
      </c>
    </row>
    <row r="162" spans="1:3" x14ac:dyDescent="0.35">
      <c r="A162" s="108" t="s">
        <v>525</v>
      </c>
      <c r="B162" s="107">
        <v>5509.68</v>
      </c>
      <c r="C162" s="107">
        <v>5511.41</v>
      </c>
    </row>
    <row r="163" spans="1:3" x14ac:dyDescent="0.35">
      <c r="A163" s="108" t="s">
        <v>526</v>
      </c>
      <c r="B163" s="107">
        <v>110.82</v>
      </c>
      <c r="C163" s="107">
        <v>109.09</v>
      </c>
    </row>
    <row r="164" spans="1:3" x14ac:dyDescent="0.35">
      <c r="A164" s="104" t="s">
        <v>186</v>
      </c>
      <c r="B164" s="105"/>
      <c r="C164" s="105"/>
    </row>
    <row r="165" spans="1:3" x14ac:dyDescent="0.35">
      <c r="A165" s="106" t="s">
        <v>187</v>
      </c>
      <c r="B165" s="110">
        <v>0.87</v>
      </c>
      <c r="C165" s="110">
        <v>0.87</v>
      </c>
    </row>
    <row r="166" spans="1:3" x14ac:dyDescent="0.35">
      <c r="A166" s="106" t="s">
        <v>187</v>
      </c>
      <c r="B166" s="110">
        <v>0.13</v>
      </c>
      <c r="C166" s="110">
        <v>0.13</v>
      </c>
    </row>
    <row r="167" spans="1:3" x14ac:dyDescent="0.35">
      <c r="A167" s="106" t="s">
        <v>187</v>
      </c>
      <c r="B167" s="110">
        <v>0.87</v>
      </c>
      <c r="C167" s="110">
        <v>0.87</v>
      </c>
    </row>
    <row r="168" spans="1:3" x14ac:dyDescent="0.35">
      <c r="A168" s="104" t="s">
        <v>188</v>
      </c>
      <c r="B168" s="105"/>
      <c r="C168" s="105"/>
    </row>
    <row r="169" spans="1:3" ht="26" x14ac:dyDescent="0.35">
      <c r="A169" s="106" t="s">
        <v>189</v>
      </c>
      <c r="B169" s="107">
        <v>1304.01</v>
      </c>
      <c r="C169" s="107">
        <v>1243.22</v>
      </c>
    </row>
    <row r="170" spans="1:3" ht="26" x14ac:dyDescent="0.35">
      <c r="A170" s="108" t="s">
        <v>191</v>
      </c>
      <c r="B170" s="107">
        <v>1304.01</v>
      </c>
      <c r="C170" s="107">
        <v>1243.22</v>
      </c>
    </row>
    <row r="171" spans="1:3" ht="26" x14ac:dyDescent="0.35">
      <c r="A171" s="108" t="s">
        <v>641</v>
      </c>
      <c r="B171" s="107">
        <v>2837.3</v>
      </c>
      <c r="C171" s="107">
        <v>2809.54</v>
      </c>
    </row>
    <row r="172" spans="1:3" ht="26" x14ac:dyDescent="0.35">
      <c r="A172" s="108" t="s">
        <v>642</v>
      </c>
      <c r="B172" s="107">
        <v>2837.3</v>
      </c>
      <c r="C172" s="107">
        <v>2809.54</v>
      </c>
    </row>
    <row r="173" spans="1:3" ht="26" x14ac:dyDescent="0.35">
      <c r="A173" s="108" t="s">
        <v>643</v>
      </c>
      <c r="B173" s="107">
        <v>1533.29</v>
      </c>
      <c r="C173" s="107">
        <v>1566.33</v>
      </c>
    </row>
    <row r="174" spans="1:3" ht="26" x14ac:dyDescent="0.35">
      <c r="A174" s="108" t="s">
        <v>644</v>
      </c>
      <c r="B174" s="107">
        <v>1533.29</v>
      </c>
      <c r="C174" s="107">
        <v>1566.33</v>
      </c>
    </row>
    <row r="175" spans="1:3" ht="26" x14ac:dyDescent="0.35">
      <c r="A175" s="106" t="s">
        <v>192</v>
      </c>
      <c r="B175" s="109">
        <v>24864.42</v>
      </c>
      <c r="C175" s="109">
        <v>27702.89</v>
      </c>
    </row>
    <row r="176" spans="1:3" ht="26" x14ac:dyDescent="0.35">
      <c r="A176" s="108" t="s">
        <v>645</v>
      </c>
      <c r="B176" s="109">
        <v>51596.12</v>
      </c>
      <c r="C176" s="109">
        <v>58240.57</v>
      </c>
    </row>
    <row r="177" spans="1:3" ht="39" x14ac:dyDescent="0.35">
      <c r="A177" s="108" t="s">
        <v>646</v>
      </c>
      <c r="B177" s="109">
        <v>26731.7</v>
      </c>
      <c r="C177" s="109">
        <v>30537.68</v>
      </c>
    </row>
    <row r="178" spans="1:3" x14ac:dyDescent="0.35">
      <c r="A178" s="104" t="s">
        <v>193</v>
      </c>
      <c r="B178" s="105"/>
      <c r="C178" s="105"/>
    </row>
    <row r="179" spans="1:3" x14ac:dyDescent="0.35">
      <c r="A179" s="106" t="s">
        <v>197</v>
      </c>
      <c r="B179" s="107">
        <v>1873.9</v>
      </c>
      <c r="C179" s="107">
        <v>1962.64</v>
      </c>
    </row>
    <row r="180" spans="1:3" ht="26" x14ac:dyDescent="0.35">
      <c r="A180" s="106" t="s">
        <v>198</v>
      </c>
      <c r="B180" s="109">
        <v>40072.75</v>
      </c>
      <c r="C180" s="109">
        <v>41891.96</v>
      </c>
    </row>
    <row r="181" spans="1:3" x14ac:dyDescent="0.35">
      <c r="A181" s="104" t="s">
        <v>199</v>
      </c>
      <c r="B181" s="105"/>
      <c r="C181" s="105"/>
    </row>
    <row r="182" spans="1:3" x14ac:dyDescent="0.35">
      <c r="A182" s="106" t="s">
        <v>575</v>
      </c>
      <c r="B182" s="107">
        <v>196.21</v>
      </c>
      <c r="C182" s="107">
        <v>137.57</v>
      </c>
    </row>
    <row r="183" spans="1:3" x14ac:dyDescent="0.35">
      <c r="A183" s="106" t="s">
        <v>200</v>
      </c>
      <c r="B183" s="109">
        <v>12061.29</v>
      </c>
      <c r="C183" s="109">
        <v>13178.09</v>
      </c>
    </row>
    <row r="184" spans="1:3" x14ac:dyDescent="0.35">
      <c r="A184" s="106" t="s">
        <v>201</v>
      </c>
      <c r="B184" s="109">
        <v>15011.02</v>
      </c>
      <c r="C184" s="109">
        <v>18119.400000000001</v>
      </c>
    </row>
    <row r="185" spans="1:3" x14ac:dyDescent="0.35">
      <c r="A185" s="108" t="s">
        <v>202</v>
      </c>
      <c r="B185" s="109">
        <v>13732.36</v>
      </c>
      <c r="C185" s="109">
        <v>16082.29</v>
      </c>
    </row>
    <row r="186" spans="1:3" ht="26" x14ac:dyDescent="0.35">
      <c r="A186" s="106" t="s">
        <v>430</v>
      </c>
      <c r="B186" s="109">
        <v>0</v>
      </c>
      <c r="C186" s="109"/>
    </row>
    <row r="187" spans="1:3" x14ac:dyDescent="0.35">
      <c r="A187" s="106" t="s">
        <v>203</v>
      </c>
      <c r="B187" s="109">
        <v>13315.7</v>
      </c>
      <c r="C187" s="109">
        <v>14485.67</v>
      </c>
    </row>
    <row r="188" spans="1:3" x14ac:dyDescent="0.35">
      <c r="A188" s="106" t="s">
        <v>204</v>
      </c>
      <c r="B188" s="107">
        <v>3222</v>
      </c>
      <c r="C188" s="107">
        <v>3618.58</v>
      </c>
    </row>
    <row r="189" spans="1:3" x14ac:dyDescent="0.35">
      <c r="A189" s="106" t="s">
        <v>612</v>
      </c>
      <c r="B189" s="110">
        <v>3.31</v>
      </c>
      <c r="C189" s="110">
        <v>3.79</v>
      </c>
    </row>
    <row r="190" spans="1:3" x14ac:dyDescent="0.35">
      <c r="A190" s="106" t="s">
        <v>205</v>
      </c>
      <c r="B190" s="109">
        <v>18061.07</v>
      </c>
      <c r="C190" s="109">
        <v>20371.07</v>
      </c>
    </row>
    <row r="191" spans="1:3" x14ac:dyDescent="0.35">
      <c r="A191" s="108" t="s">
        <v>206</v>
      </c>
      <c r="B191" s="107">
        <v>4391.53</v>
      </c>
      <c r="C191" s="107">
        <v>5347.72</v>
      </c>
    </row>
    <row r="192" spans="1:3" x14ac:dyDescent="0.35">
      <c r="A192" s="108" t="s">
        <v>207</v>
      </c>
      <c r="B192" s="109">
        <v>13669.53</v>
      </c>
      <c r="C192" s="109">
        <v>15023.35</v>
      </c>
    </row>
    <row r="193" spans="1:3" x14ac:dyDescent="0.35">
      <c r="A193" s="106" t="s">
        <v>647</v>
      </c>
      <c r="B193" s="107">
        <v>209.44</v>
      </c>
      <c r="C193" s="107">
        <v>803.99</v>
      </c>
    </row>
    <row r="194" spans="1:3" ht="26" x14ac:dyDescent="0.35">
      <c r="A194" s="106" t="s">
        <v>648</v>
      </c>
      <c r="B194" s="109">
        <v>0</v>
      </c>
      <c r="C194" s="109"/>
    </row>
    <row r="195" spans="1:3" x14ac:dyDescent="0.35">
      <c r="A195" s="104" t="s">
        <v>208</v>
      </c>
      <c r="B195" s="105"/>
      <c r="C195" s="105"/>
    </row>
    <row r="196" spans="1:3" x14ac:dyDescent="0.35">
      <c r="A196" s="106" t="s">
        <v>209</v>
      </c>
      <c r="B196" s="109">
        <v>20984.35</v>
      </c>
      <c r="C196" s="109">
        <v>22358.95</v>
      </c>
    </row>
    <row r="197" spans="1:3" x14ac:dyDescent="0.35">
      <c r="A197" s="106" t="s">
        <v>210</v>
      </c>
      <c r="B197" s="109">
        <v>40072.75</v>
      </c>
      <c r="C197" s="109">
        <v>41891.96</v>
      </c>
    </row>
    <row r="198" spans="1:3" x14ac:dyDescent="0.35">
      <c r="A198" s="106" t="s">
        <v>649</v>
      </c>
      <c r="B198" s="115">
        <v>4.03</v>
      </c>
      <c r="C198" s="115">
        <v>2.73</v>
      </c>
    </row>
    <row r="199" spans="1:3" x14ac:dyDescent="0.35">
      <c r="A199" s="104" t="s">
        <v>214</v>
      </c>
      <c r="B199" s="105"/>
      <c r="C199" s="105"/>
    </row>
    <row r="200" spans="1:3" x14ac:dyDescent="0.35">
      <c r="A200" s="106" t="s">
        <v>215</v>
      </c>
      <c r="B200" s="109">
        <v>37697.31</v>
      </c>
      <c r="C200" s="109">
        <v>38202.699999999997</v>
      </c>
    </row>
    <row r="201" spans="1:3" x14ac:dyDescent="0.35">
      <c r="A201" s="108" t="s">
        <v>216</v>
      </c>
      <c r="B201" s="107">
        <v>3832.67</v>
      </c>
      <c r="C201" s="107">
        <v>3581.98</v>
      </c>
    </row>
    <row r="202" spans="1:3" x14ac:dyDescent="0.35">
      <c r="A202" s="108" t="s">
        <v>217</v>
      </c>
      <c r="B202" s="107">
        <v>3478.84</v>
      </c>
      <c r="C202" s="107">
        <v>3852.08</v>
      </c>
    </row>
    <row r="203" spans="1:3" x14ac:dyDescent="0.35">
      <c r="A203" s="108" t="s">
        <v>218</v>
      </c>
      <c r="B203" s="107">
        <v>3632.05</v>
      </c>
      <c r="C203" s="107">
        <v>4072.95</v>
      </c>
    </row>
    <row r="204" spans="1:3" x14ac:dyDescent="0.35">
      <c r="A204" s="108" t="s">
        <v>219</v>
      </c>
      <c r="B204" s="107">
        <v>4035.49</v>
      </c>
      <c r="C204" s="107">
        <v>3414.11</v>
      </c>
    </row>
    <row r="205" spans="1:3" x14ac:dyDescent="0.35">
      <c r="A205" s="108" t="s">
        <v>220</v>
      </c>
      <c r="B205" s="107">
        <v>3208.77</v>
      </c>
      <c r="C205" s="107">
        <v>3433.04</v>
      </c>
    </row>
    <row r="206" spans="1:3" x14ac:dyDescent="0.35">
      <c r="A206" s="108" t="s">
        <v>431</v>
      </c>
      <c r="B206" s="109">
        <v>19509.48</v>
      </c>
      <c r="C206" s="109">
        <v>19848.54</v>
      </c>
    </row>
    <row r="207" spans="1:3" x14ac:dyDescent="0.35">
      <c r="A207" s="106" t="s">
        <v>221</v>
      </c>
      <c r="B207" s="107">
        <v>7110.89</v>
      </c>
      <c r="C207" s="107">
        <v>7925.03</v>
      </c>
    </row>
    <row r="208" spans="1:3" x14ac:dyDescent="0.35">
      <c r="A208" s="106" t="s">
        <v>222</v>
      </c>
      <c r="B208" s="107">
        <v>7244.27</v>
      </c>
      <c r="C208" s="107">
        <v>6847.15</v>
      </c>
    </row>
    <row r="209" spans="1:3" x14ac:dyDescent="0.35">
      <c r="A209" s="106" t="s">
        <v>432</v>
      </c>
      <c r="B209" s="109">
        <v>19509.48</v>
      </c>
      <c r="C209" s="109">
        <v>19848.54</v>
      </c>
    </row>
    <row r="210" spans="1:3" x14ac:dyDescent="0.35">
      <c r="A210" s="104" t="s">
        <v>223</v>
      </c>
      <c r="B210" s="105"/>
      <c r="C210" s="105"/>
    </row>
    <row r="211" spans="1:3" x14ac:dyDescent="0.35">
      <c r="A211" s="106" t="s">
        <v>224</v>
      </c>
      <c r="B211" s="107">
        <v>2107.58</v>
      </c>
      <c r="C211" s="107">
        <v>2204.9699999999998</v>
      </c>
    </row>
    <row r="212" spans="1:3" x14ac:dyDescent="0.35">
      <c r="A212" s="108" t="s">
        <v>225</v>
      </c>
      <c r="B212" s="107">
        <v>400.13</v>
      </c>
      <c r="C212" s="107">
        <v>431.65</v>
      </c>
    </row>
    <row r="213" spans="1:3" x14ac:dyDescent="0.35">
      <c r="A213" s="108" t="s">
        <v>226</v>
      </c>
      <c r="B213" s="107">
        <v>336.2</v>
      </c>
      <c r="C213" s="107">
        <v>411.46</v>
      </c>
    </row>
    <row r="214" spans="1:3" x14ac:dyDescent="0.35">
      <c r="A214" s="108" t="s">
        <v>229</v>
      </c>
      <c r="B214" s="107">
        <v>611.77</v>
      </c>
      <c r="C214" s="107">
        <v>684.08</v>
      </c>
    </row>
    <row r="215" spans="1:3" x14ac:dyDescent="0.35">
      <c r="A215" s="108" t="s">
        <v>230</v>
      </c>
      <c r="B215" s="107">
        <v>759.48</v>
      </c>
      <c r="C215" s="107">
        <v>677.77</v>
      </c>
    </row>
    <row r="216" spans="1:3" x14ac:dyDescent="0.35">
      <c r="A216" s="106" t="s">
        <v>232</v>
      </c>
      <c r="B216" s="107">
        <v>336.2</v>
      </c>
      <c r="C216" s="107">
        <v>411.46</v>
      </c>
    </row>
    <row r="217" spans="1:3" x14ac:dyDescent="0.35">
      <c r="A217" s="106" t="s">
        <v>233</v>
      </c>
      <c r="B217" s="107">
        <v>611.77</v>
      </c>
      <c r="C217" s="107">
        <v>684.08</v>
      </c>
    </row>
    <row r="218" spans="1:3" x14ac:dyDescent="0.35">
      <c r="A218" s="106" t="s">
        <v>234</v>
      </c>
      <c r="B218" s="107">
        <v>759.48</v>
      </c>
      <c r="C218" s="107">
        <v>677.77</v>
      </c>
    </row>
    <row r="219" spans="1:3" x14ac:dyDescent="0.35">
      <c r="A219" s="104" t="s">
        <v>82</v>
      </c>
      <c r="B219" s="105"/>
      <c r="C219" s="105"/>
    </row>
    <row r="220" spans="1:3" x14ac:dyDescent="0.35">
      <c r="A220" s="106" t="s">
        <v>433</v>
      </c>
      <c r="B220" s="107">
        <v>4843.47</v>
      </c>
      <c r="C220" s="107">
        <v>5147.04</v>
      </c>
    </row>
    <row r="221" spans="1:3" x14ac:dyDescent="0.35">
      <c r="A221" s="106" t="s">
        <v>240</v>
      </c>
      <c r="B221" s="107">
        <v>6655.64</v>
      </c>
      <c r="C221" s="107">
        <v>6495.01</v>
      </c>
    </row>
    <row r="222" spans="1:3" x14ac:dyDescent="0.35">
      <c r="A222" s="106" t="s">
        <v>241</v>
      </c>
      <c r="B222" s="109">
        <v>95697.75</v>
      </c>
      <c r="C222" s="109">
        <v>110198.16</v>
      </c>
    </row>
    <row r="223" spans="1:3" x14ac:dyDescent="0.35">
      <c r="A223" s="106" t="s">
        <v>242</v>
      </c>
      <c r="B223" s="107">
        <v>7688.49</v>
      </c>
      <c r="C223" s="107">
        <v>7045.31</v>
      </c>
    </row>
    <row r="224" spans="1:3" x14ac:dyDescent="0.35">
      <c r="A224" s="106" t="s">
        <v>243</v>
      </c>
      <c r="B224" s="109">
        <v>19088.400000000001</v>
      </c>
      <c r="C224" s="109">
        <v>19533.009999999998</v>
      </c>
    </row>
    <row r="225" spans="1:3" ht="26" x14ac:dyDescent="0.35">
      <c r="A225" s="106" t="s">
        <v>244</v>
      </c>
      <c r="B225" s="109">
        <v>44916.23</v>
      </c>
      <c r="C225" s="109">
        <v>47039</v>
      </c>
    </row>
    <row r="226" spans="1:3" x14ac:dyDescent="0.35">
      <c r="A226" s="106" t="s">
        <v>245</v>
      </c>
      <c r="B226" s="107">
        <v>945.77</v>
      </c>
      <c r="C226" s="107">
        <v>1016.03</v>
      </c>
    </row>
    <row r="227" spans="1:3" x14ac:dyDescent="0.35">
      <c r="A227" s="106" t="s">
        <v>246</v>
      </c>
      <c r="B227" s="109">
        <v>60844.36</v>
      </c>
      <c r="C227" s="109">
        <v>70169.13</v>
      </c>
    </row>
    <row r="228" spans="1:3" x14ac:dyDescent="0.35">
      <c r="A228" s="106" t="s">
        <v>247</v>
      </c>
      <c r="B228" s="109">
        <v>60844.36</v>
      </c>
      <c r="C228" s="109">
        <v>70169.13</v>
      </c>
    </row>
    <row r="229" spans="1:3" x14ac:dyDescent="0.35">
      <c r="A229" s="106" t="s">
        <v>248</v>
      </c>
      <c r="B229" s="107">
        <v>8838.18</v>
      </c>
      <c r="C229" s="107">
        <v>9632.7099999999991</v>
      </c>
    </row>
    <row r="230" spans="1:3" x14ac:dyDescent="0.35">
      <c r="A230" s="106" t="s">
        <v>249</v>
      </c>
      <c r="B230" s="109">
        <v>35016.53</v>
      </c>
      <c r="C230" s="109">
        <v>42663.13</v>
      </c>
    </row>
    <row r="231" spans="1:3" x14ac:dyDescent="0.35">
      <c r="A231" s="106" t="s">
        <v>250</v>
      </c>
      <c r="B231" s="109">
        <v>12105.38</v>
      </c>
      <c r="C231" s="109">
        <v>13968.19</v>
      </c>
    </row>
    <row r="232" spans="1:3" x14ac:dyDescent="0.35">
      <c r="A232" s="106" t="s">
        <v>251</v>
      </c>
      <c r="B232" s="107">
        <v>7261.9</v>
      </c>
      <c r="C232" s="107">
        <v>8821.15</v>
      </c>
    </row>
    <row r="233" spans="1:3" x14ac:dyDescent="0.35">
      <c r="A233" s="106" t="s">
        <v>252</v>
      </c>
      <c r="B233" s="109">
        <v>75089.289999999994</v>
      </c>
      <c r="C233" s="109">
        <v>84555.09</v>
      </c>
    </row>
    <row r="234" spans="1:3" x14ac:dyDescent="0.35">
      <c r="A234" s="106" t="s">
        <v>253</v>
      </c>
      <c r="B234" s="109">
        <v>79932.759999999995</v>
      </c>
      <c r="C234" s="109">
        <v>89702.13</v>
      </c>
    </row>
    <row r="235" spans="1:3" x14ac:dyDescent="0.35">
      <c r="A235" s="106" t="s">
        <v>254</v>
      </c>
      <c r="B235" s="109">
        <v>82427.25</v>
      </c>
      <c r="C235" s="109">
        <v>91760.7</v>
      </c>
    </row>
    <row r="236" spans="1:3" x14ac:dyDescent="0.35">
      <c r="A236" s="106" t="s">
        <v>255</v>
      </c>
      <c r="B236" s="109">
        <v>59254.85</v>
      </c>
      <c r="C236" s="109">
        <v>68361.73</v>
      </c>
    </row>
    <row r="237" spans="1:3" x14ac:dyDescent="0.35">
      <c r="A237" s="106" t="s">
        <v>472</v>
      </c>
      <c r="B237" s="107">
        <v>1068.1199999999999</v>
      </c>
      <c r="C237" s="107">
        <v>1146.03</v>
      </c>
    </row>
    <row r="238" spans="1:3" x14ac:dyDescent="0.35">
      <c r="A238" s="106" t="s">
        <v>256</v>
      </c>
      <c r="B238" s="109">
        <v>14344.14</v>
      </c>
      <c r="C238" s="109">
        <v>13540.33</v>
      </c>
    </row>
    <row r="239" spans="1:3" x14ac:dyDescent="0.35">
      <c r="A239" s="106" t="s">
        <v>257</v>
      </c>
      <c r="B239" s="113">
        <v>-4744.2700000000004</v>
      </c>
      <c r="C239" s="113">
        <v>-5992.68</v>
      </c>
    </row>
    <row r="240" spans="1:3" ht="26" x14ac:dyDescent="0.35">
      <c r="A240" s="106" t="s">
        <v>434</v>
      </c>
      <c r="B240" s="109">
        <v>17695.11</v>
      </c>
      <c r="C240" s="109">
        <v>17911.14</v>
      </c>
    </row>
    <row r="241" spans="1:3" x14ac:dyDescent="0.35">
      <c r="A241" s="106" t="s">
        <v>258</v>
      </c>
      <c r="B241" s="109">
        <v>35016.53</v>
      </c>
      <c r="C241" s="109">
        <v>42663.13</v>
      </c>
    </row>
    <row r="242" spans="1:3" x14ac:dyDescent="0.35">
      <c r="A242" s="104" t="s">
        <v>273</v>
      </c>
      <c r="B242" s="105"/>
      <c r="C242" s="105"/>
    </row>
    <row r="243" spans="1:3" ht="26" x14ac:dyDescent="0.35">
      <c r="A243" s="106" t="s">
        <v>274</v>
      </c>
      <c r="B243" s="109">
        <v>103249</v>
      </c>
      <c r="C243" s="109">
        <v>112774</v>
      </c>
    </row>
    <row r="244" spans="1:3" ht="26" x14ac:dyDescent="0.35">
      <c r="A244" s="106" t="s">
        <v>275</v>
      </c>
      <c r="B244" s="109">
        <v>103249</v>
      </c>
      <c r="C244" s="109">
        <v>112774</v>
      </c>
    </row>
    <row r="247" spans="1:3" x14ac:dyDescent="0.35">
      <c r="A247" s="98" t="s">
        <v>110</v>
      </c>
      <c r="B247" s="99" t="s">
        <v>111</v>
      </c>
      <c r="C247" s="99" t="s">
        <v>112</v>
      </c>
    </row>
    <row r="248" spans="1:3" x14ac:dyDescent="0.35">
      <c r="A248" s="100" t="s">
        <v>113</v>
      </c>
      <c r="B248" s="101">
        <v>45657</v>
      </c>
      <c r="C248" s="101">
        <v>46022</v>
      </c>
    </row>
    <row r="249" spans="1:3" x14ac:dyDescent="0.35">
      <c r="A249" s="100" t="s">
        <v>114</v>
      </c>
      <c r="B249" s="101" t="s">
        <v>625</v>
      </c>
      <c r="C249" s="101" t="s">
        <v>625</v>
      </c>
    </row>
    <row r="250" spans="1:3" x14ac:dyDescent="0.35">
      <c r="A250" s="100" t="s">
        <v>626</v>
      </c>
      <c r="B250">
        <v>1.10229276895944</v>
      </c>
      <c r="C250">
        <v>1.2621481761958899</v>
      </c>
    </row>
    <row r="251" spans="1:3" ht="26.5" x14ac:dyDescent="0.35">
      <c r="A251" s="102" t="s">
        <v>276</v>
      </c>
      <c r="B251" s="98"/>
      <c r="C251" s="98"/>
    </row>
    <row r="252" spans="1:3" x14ac:dyDescent="0.35">
      <c r="A252" s="102" t="s">
        <v>117</v>
      </c>
      <c r="B252" s="103" t="s">
        <v>118</v>
      </c>
      <c r="C252" s="103" t="s">
        <v>119</v>
      </c>
    </row>
    <row r="253" spans="1:3" x14ac:dyDescent="0.35">
      <c r="A253" s="104" t="s">
        <v>277</v>
      </c>
      <c r="B253" s="105"/>
      <c r="C253" s="105"/>
    </row>
    <row r="254" spans="1:3" x14ac:dyDescent="0.35">
      <c r="A254" s="106" t="s">
        <v>278</v>
      </c>
      <c r="B254" s="109">
        <v>68746.44</v>
      </c>
      <c r="C254" s="109">
        <v>74265.73</v>
      </c>
    </row>
    <row r="255" spans="1:3" x14ac:dyDescent="0.35">
      <c r="A255" s="108" t="s">
        <v>279</v>
      </c>
      <c r="B255" s="109">
        <v>68746.44</v>
      </c>
      <c r="C255" s="109">
        <v>74265.73</v>
      </c>
    </row>
    <row r="256" spans="1:3" x14ac:dyDescent="0.35">
      <c r="A256" s="111" t="s">
        <v>64</v>
      </c>
      <c r="B256" s="112">
        <v>68746.44</v>
      </c>
      <c r="C256" s="112">
        <v>74265.73</v>
      </c>
    </row>
    <row r="257" spans="1:3" x14ac:dyDescent="0.35">
      <c r="A257" s="104" t="s">
        <v>280</v>
      </c>
      <c r="B257" s="105"/>
      <c r="C257" s="105"/>
    </row>
    <row r="258" spans="1:3" x14ac:dyDescent="0.35">
      <c r="A258" s="106" t="s">
        <v>281</v>
      </c>
      <c r="B258" s="109">
        <v>17864.189999999999</v>
      </c>
      <c r="C258" s="109">
        <v>19363.22</v>
      </c>
    </row>
    <row r="259" spans="1:3" x14ac:dyDescent="0.35">
      <c r="A259" s="108" t="s">
        <v>282</v>
      </c>
      <c r="B259" s="109">
        <v>17864.189999999999</v>
      </c>
      <c r="C259" s="109">
        <v>19363.22</v>
      </c>
    </row>
    <row r="260" spans="1:3" x14ac:dyDescent="0.35">
      <c r="A260" s="108" t="s">
        <v>283</v>
      </c>
      <c r="B260" s="109">
        <v>17319.849999999999</v>
      </c>
      <c r="C260" s="109">
        <v>18801.849999999999</v>
      </c>
    </row>
    <row r="261" spans="1:3" x14ac:dyDescent="0.35">
      <c r="A261" s="108" t="s">
        <v>494</v>
      </c>
      <c r="B261" s="107">
        <v>437.51</v>
      </c>
      <c r="C261" s="107">
        <v>441.86</v>
      </c>
    </row>
    <row r="262" spans="1:3" ht="26" x14ac:dyDescent="0.35">
      <c r="A262" s="108" t="s">
        <v>551</v>
      </c>
      <c r="B262" s="107">
        <v>106.82</v>
      </c>
      <c r="C262" s="107">
        <v>119.52</v>
      </c>
    </row>
    <row r="263" spans="1:3" x14ac:dyDescent="0.35">
      <c r="A263" s="111" t="s">
        <v>68</v>
      </c>
      <c r="B263" s="112">
        <v>50882.25</v>
      </c>
      <c r="C263" s="112">
        <v>54902.51</v>
      </c>
    </row>
    <row r="264" spans="1:3" x14ac:dyDescent="0.35">
      <c r="A264" s="106" t="s">
        <v>286</v>
      </c>
      <c r="B264" s="109">
        <v>30072.52</v>
      </c>
      <c r="C264" s="109">
        <v>31649.5</v>
      </c>
    </row>
    <row r="265" spans="1:3" ht="26" x14ac:dyDescent="0.35">
      <c r="A265" s="108" t="s">
        <v>287</v>
      </c>
      <c r="B265" s="109">
        <v>15102.74</v>
      </c>
      <c r="C265" s="109">
        <v>16116.9</v>
      </c>
    </row>
    <row r="266" spans="1:3" ht="39" x14ac:dyDescent="0.35">
      <c r="A266" s="108" t="s">
        <v>547</v>
      </c>
      <c r="B266" s="107">
        <v>417.06</v>
      </c>
      <c r="C266" s="107">
        <v>447.89</v>
      </c>
    </row>
    <row r="267" spans="1:3" x14ac:dyDescent="0.35">
      <c r="A267" s="108" t="s">
        <v>529</v>
      </c>
      <c r="B267" s="109">
        <v>14153.85</v>
      </c>
      <c r="C267" s="109">
        <v>14718.9</v>
      </c>
    </row>
    <row r="268" spans="1:3" ht="26" x14ac:dyDescent="0.35">
      <c r="A268" s="108" t="s">
        <v>576</v>
      </c>
      <c r="B268" s="107">
        <v>398.88</v>
      </c>
      <c r="C268" s="107">
        <v>365.8</v>
      </c>
    </row>
    <row r="269" spans="1:3" x14ac:dyDescent="0.35">
      <c r="A269" s="106" t="s">
        <v>291</v>
      </c>
      <c r="B269" s="113">
        <v>-2870.54</v>
      </c>
      <c r="C269" s="113">
        <v>-2730.82</v>
      </c>
    </row>
    <row r="270" spans="1:3" x14ac:dyDescent="0.35">
      <c r="A270" s="108" t="s">
        <v>448</v>
      </c>
      <c r="B270" s="107">
        <v>2870.54</v>
      </c>
      <c r="C270" s="107">
        <v>2730.82</v>
      </c>
    </row>
    <row r="271" spans="1:3" x14ac:dyDescent="0.35">
      <c r="A271" s="106" t="s">
        <v>76</v>
      </c>
      <c r="B271" s="109">
        <v>45066.16</v>
      </c>
      <c r="C271" s="109">
        <v>48281.9</v>
      </c>
    </row>
    <row r="272" spans="1:3" x14ac:dyDescent="0.35">
      <c r="A272" s="104" t="s">
        <v>292</v>
      </c>
      <c r="B272" s="105"/>
      <c r="C272" s="105"/>
    </row>
    <row r="273" spans="1:3" ht="26" x14ac:dyDescent="0.35">
      <c r="A273" s="111" t="s">
        <v>293</v>
      </c>
      <c r="B273" s="112">
        <v>23680.28</v>
      </c>
      <c r="C273" s="112">
        <v>25983.83</v>
      </c>
    </row>
    <row r="274" spans="1:3" x14ac:dyDescent="0.35">
      <c r="A274" s="104" t="s">
        <v>294</v>
      </c>
      <c r="B274" s="105"/>
      <c r="C274" s="105"/>
    </row>
    <row r="275" spans="1:3" x14ac:dyDescent="0.35">
      <c r="A275" s="106" t="s">
        <v>295</v>
      </c>
      <c r="B275" s="113">
        <v>-1673.92</v>
      </c>
      <c r="C275" s="113">
        <v>-1131.2</v>
      </c>
    </row>
    <row r="276" spans="1:3" x14ac:dyDescent="0.35">
      <c r="A276" s="108" t="s">
        <v>81</v>
      </c>
      <c r="B276" s="107">
        <v>1112.53</v>
      </c>
      <c r="C276" s="107">
        <v>1178.28</v>
      </c>
    </row>
    <row r="277" spans="1:3" x14ac:dyDescent="0.35">
      <c r="A277" s="108" t="s">
        <v>296</v>
      </c>
      <c r="B277" s="107">
        <v>295.45999999999998</v>
      </c>
      <c r="C277" s="107">
        <v>245.07</v>
      </c>
    </row>
    <row r="278" spans="1:3" x14ac:dyDescent="0.35">
      <c r="A278" s="108" t="s">
        <v>297</v>
      </c>
      <c r="B278" s="107">
        <v>1408</v>
      </c>
      <c r="C278" s="107">
        <v>1423.36</v>
      </c>
    </row>
    <row r="279" spans="1:3" x14ac:dyDescent="0.35">
      <c r="A279" s="108" t="s">
        <v>300</v>
      </c>
      <c r="B279" s="113">
        <v>-561.38</v>
      </c>
      <c r="C279" s="110">
        <v>47.08</v>
      </c>
    </row>
    <row r="280" spans="1:3" x14ac:dyDescent="0.35">
      <c r="A280" s="108" t="s">
        <v>301</v>
      </c>
      <c r="B280" s="113">
        <v>-365.92</v>
      </c>
      <c r="C280" s="107">
        <v>204.03</v>
      </c>
    </row>
    <row r="281" spans="1:3" ht="26" x14ac:dyDescent="0.35">
      <c r="A281" s="108" t="s">
        <v>592</v>
      </c>
      <c r="B281" s="109">
        <v>0</v>
      </c>
      <c r="C281" s="110">
        <v>35.01</v>
      </c>
    </row>
    <row r="282" spans="1:3" ht="26" x14ac:dyDescent="0.35">
      <c r="A282" s="108" t="s">
        <v>650</v>
      </c>
      <c r="B282" s="113">
        <v>-195.46</v>
      </c>
      <c r="C282" s="113">
        <v>-191.95</v>
      </c>
    </row>
    <row r="283" spans="1:3" ht="26" x14ac:dyDescent="0.35">
      <c r="A283" s="106" t="s">
        <v>303</v>
      </c>
      <c r="B283" s="114">
        <v>-51.14</v>
      </c>
      <c r="C283" s="114">
        <v>-36.22</v>
      </c>
    </row>
    <row r="284" spans="1:3" x14ac:dyDescent="0.35">
      <c r="A284" s="106" t="s">
        <v>438</v>
      </c>
      <c r="B284" s="110">
        <v>15.91</v>
      </c>
      <c r="C284" s="110">
        <v>31.39</v>
      </c>
    </row>
    <row r="285" spans="1:3" ht="26" x14ac:dyDescent="0.35">
      <c r="A285" s="108" t="s">
        <v>439</v>
      </c>
      <c r="B285" s="110">
        <v>15.91</v>
      </c>
      <c r="C285" s="110">
        <v>31.39</v>
      </c>
    </row>
    <row r="286" spans="1:3" x14ac:dyDescent="0.35">
      <c r="A286" s="106" t="s">
        <v>304</v>
      </c>
      <c r="B286" s="109">
        <v>21971.13</v>
      </c>
      <c r="C286" s="109">
        <v>24847.8</v>
      </c>
    </row>
    <row r="287" spans="1:3" x14ac:dyDescent="0.35">
      <c r="A287" s="104" t="s">
        <v>305</v>
      </c>
      <c r="B287" s="105"/>
      <c r="C287" s="105"/>
    </row>
    <row r="288" spans="1:3" x14ac:dyDescent="0.35">
      <c r="A288" s="106" t="s">
        <v>306</v>
      </c>
      <c r="B288" s="113">
        <v>-8569.58</v>
      </c>
      <c r="C288" s="113">
        <v>-4357</v>
      </c>
    </row>
    <row r="289" spans="1:3" x14ac:dyDescent="0.35">
      <c r="A289" s="108" t="s">
        <v>307</v>
      </c>
      <c r="B289" s="107">
        <v>6116.1</v>
      </c>
      <c r="C289" s="107">
        <v>870.43</v>
      </c>
    </row>
    <row r="290" spans="1:3" x14ac:dyDescent="0.35">
      <c r="A290" s="108" t="s">
        <v>308</v>
      </c>
      <c r="B290" s="107">
        <v>853.44</v>
      </c>
      <c r="C290" s="107">
        <v>433.41</v>
      </c>
    </row>
    <row r="291" spans="1:3" x14ac:dyDescent="0.35">
      <c r="A291" s="108" t="s">
        <v>553</v>
      </c>
      <c r="B291" s="107">
        <v>3646.7</v>
      </c>
      <c r="C291" s="110">
        <v>48.29</v>
      </c>
    </row>
    <row r="292" spans="1:3" x14ac:dyDescent="0.35">
      <c r="A292" s="108" t="s">
        <v>554</v>
      </c>
      <c r="B292" s="107">
        <v>1615.96</v>
      </c>
      <c r="C292" s="107">
        <v>388.74</v>
      </c>
    </row>
    <row r="293" spans="1:3" x14ac:dyDescent="0.35">
      <c r="A293" s="108" t="s">
        <v>555</v>
      </c>
      <c r="B293" s="109">
        <v>0</v>
      </c>
      <c r="C293" s="114">
        <v>-1.21</v>
      </c>
    </row>
    <row r="294" spans="1:3" x14ac:dyDescent="0.35">
      <c r="A294" s="108" t="s">
        <v>310</v>
      </c>
      <c r="B294" s="107">
        <v>2148.9299999999998</v>
      </c>
      <c r="C294" s="107">
        <v>2612.5100000000002</v>
      </c>
    </row>
    <row r="295" spans="1:3" x14ac:dyDescent="0.35">
      <c r="A295" s="108" t="s">
        <v>569</v>
      </c>
      <c r="B295" s="110">
        <v>94.32</v>
      </c>
      <c r="C295" s="107">
        <v>213.68</v>
      </c>
    </row>
    <row r="296" spans="1:3" x14ac:dyDescent="0.35">
      <c r="A296" s="108" t="s">
        <v>651</v>
      </c>
      <c r="B296" s="110">
        <v>27.27</v>
      </c>
      <c r="C296" s="113">
        <v>-534.82000000000005</v>
      </c>
    </row>
    <row r="297" spans="1:3" x14ac:dyDescent="0.35">
      <c r="A297" s="108" t="s">
        <v>652</v>
      </c>
      <c r="B297" s="114">
        <v>-2.27</v>
      </c>
      <c r="C297" s="114">
        <v>-2.41</v>
      </c>
    </row>
    <row r="298" spans="1:3" x14ac:dyDescent="0.35">
      <c r="A298" s="108" t="s">
        <v>530</v>
      </c>
      <c r="B298" s="110">
        <v>39.770000000000003</v>
      </c>
      <c r="C298" s="114">
        <v>-53.12</v>
      </c>
    </row>
    <row r="299" spans="1:3" ht="26" x14ac:dyDescent="0.35">
      <c r="A299" s="108" t="s">
        <v>312</v>
      </c>
      <c r="B299" s="114">
        <v>-89.78</v>
      </c>
      <c r="C299" s="114">
        <v>-13.28</v>
      </c>
    </row>
    <row r="300" spans="1:3" x14ac:dyDescent="0.35">
      <c r="A300" s="108" t="s">
        <v>441</v>
      </c>
      <c r="B300" s="113">
        <v>-185.23</v>
      </c>
      <c r="C300" s="114">
        <v>-57.95</v>
      </c>
    </row>
    <row r="301" spans="1:3" x14ac:dyDescent="0.35">
      <c r="A301" s="104" t="s">
        <v>313</v>
      </c>
      <c r="B301" s="105"/>
      <c r="C301" s="105"/>
    </row>
    <row r="302" spans="1:3" x14ac:dyDescent="0.35">
      <c r="A302" s="111" t="s">
        <v>83</v>
      </c>
      <c r="B302" s="112">
        <v>13401.55</v>
      </c>
      <c r="C302" s="112">
        <v>20490.8</v>
      </c>
    </row>
    <row r="303" spans="1:3" x14ac:dyDescent="0.35">
      <c r="A303" s="104" t="s">
        <v>314</v>
      </c>
      <c r="B303" s="105"/>
      <c r="C303" s="105"/>
    </row>
    <row r="304" spans="1:3" x14ac:dyDescent="0.35">
      <c r="A304" s="106" t="s">
        <v>84</v>
      </c>
      <c r="B304" s="107">
        <v>2961.45</v>
      </c>
      <c r="C304" s="107">
        <v>3831.84</v>
      </c>
    </row>
    <row r="305" spans="1:3" x14ac:dyDescent="0.35">
      <c r="A305" s="108" t="s">
        <v>315</v>
      </c>
      <c r="B305" s="107">
        <v>4700.1400000000003</v>
      </c>
      <c r="C305" s="107">
        <v>3881.34</v>
      </c>
    </row>
    <row r="306" spans="1:3" x14ac:dyDescent="0.35">
      <c r="A306" s="108" t="s">
        <v>318</v>
      </c>
      <c r="B306" s="113">
        <v>-1953.47</v>
      </c>
      <c r="C306" s="113">
        <v>-236.62</v>
      </c>
    </row>
    <row r="307" spans="1:3" x14ac:dyDescent="0.35">
      <c r="A307" s="108" t="s">
        <v>450</v>
      </c>
      <c r="B307" s="107">
        <v>214.78</v>
      </c>
      <c r="C307" s="107">
        <v>187.13</v>
      </c>
    </row>
    <row r="308" spans="1:3" x14ac:dyDescent="0.35">
      <c r="A308" s="104" t="s">
        <v>321</v>
      </c>
      <c r="B308" s="105"/>
      <c r="C308" s="105"/>
    </row>
    <row r="309" spans="1:3" x14ac:dyDescent="0.35">
      <c r="A309" s="106" t="s">
        <v>322</v>
      </c>
      <c r="B309" s="109">
        <v>10440.09</v>
      </c>
      <c r="C309" s="109">
        <v>16658.96</v>
      </c>
    </row>
    <row r="310" spans="1:3" x14ac:dyDescent="0.35">
      <c r="A310" s="104" t="s">
        <v>323</v>
      </c>
      <c r="B310" s="105"/>
      <c r="C310" s="105"/>
    </row>
    <row r="311" spans="1:3" ht="26" x14ac:dyDescent="0.35">
      <c r="A311" s="111" t="s">
        <v>324</v>
      </c>
      <c r="B311" s="112">
        <v>10440.09</v>
      </c>
      <c r="C311" s="112">
        <v>16658.96</v>
      </c>
    </row>
    <row r="312" spans="1:3" x14ac:dyDescent="0.35">
      <c r="A312" s="106" t="s">
        <v>327</v>
      </c>
      <c r="B312" s="109">
        <v>10440.09</v>
      </c>
      <c r="C312" s="109">
        <v>16658.96</v>
      </c>
    </row>
    <row r="313" spans="1:3" x14ac:dyDescent="0.35">
      <c r="A313" s="106" t="s">
        <v>442</v>
      </c>
      <c r="B313" s="107">
        <v>1034.1199999999999</v>
      </c>
      <c r="C313" s="107">
        <v>1109.47</v>
      </c>
    </row>
    <row r="314" spans="1:3" x14ac:dyDescent="0.35">
      <c r="A314" s="106" t="s">
        <v>85</v>
      </c>
      <c r="B314" s="107">
        <v>9405.9699999999993</v>
      </c>
      <c r="C314" s="109">
        <v>15549.49</v>
      </c>
    </row>
    <row r="315" spans="1:3" x14ac:dyDescent="0.35">
      <c r="A315" s="104" t="s">
        <v>328</v>
      </c>
      <c r="B315" s="105"/>
      <c r="C315" s="105"/>
    </row>
    <row r="316" spans="1:3" x14ac:dyDescent="0.35">
      <c r="A316" s="111" t="s">
        <v>330</v>
      </c>
      <c r="B316" s="116">
        <v>9405.9699999999993</v>
      </c>
      <c r="C316" s="112">
        <v>15549.49</v>
      </c>
    </row>
    <row r="317" spans="1:3" x14ac:dyDescent="0.35">
      <c r="A317" s="104" t="s">
        <v>331</v>
      </c>
      <c r="B317" s="105"/>
      <c r="C317" s="105"/>
    </row>
    <row r="318" spans="1:3" x14ac:dyDescent="0.35">
      <c r="A318" s="106" t="s">
        <v>332</v>
      </c>
      <c r="B318" s="109">
        <v>10440.09</v>
      </c>
      <c r="C318" s="109">
        <v>16658.96</v>
      </c>
    </row>
    <row r="319" spans="1:3" x14ac:dyDescent="0.35">
      <c r="A319" s="106" t="s">
        <v>333</v>
      </c>
      <c r="B319" s="107">
        <v>792.07</v>
      </c>
      <c r="C319" s="113">
        <v>-3909.1</v>
      </c>
    </row>
    <row r="320" spans="1:3" ht="26" x14ac:dyDescent="0.35">
      <c r="A320" s="106" t="s">
        <v>334</v>
      </c>
      <c r="B320" s="110">
        <v>86.37</v>
      </c>
      <c r="C320" s="113">
        <v>-191.95</v>
      </c>
    </row>
    <row r="321" spans="1:3" x14ac:dyDescent="0.35">
      <c r="A321" s="106" t="s">
        <v>335</v>
      </c>
      <c r="B321" s="110">
        <v>87.5</v>
      </c>
      <c r="C321" s="113">
        <v>-197.99</v>
      </c>
    </row>
    <row r="322" spans="1:3" x14ac:dyDescent="0.35">
      <c r="A322" s="106" t="s">
        <v>336</v>
      </c>
      <c r="B322" s="107">
        <v>1293.22</v>
      </c>
      <c r="C322" s="113">
        <v>-323.55</v>
      </c>
    </row>
    <row r="323" spans="1:3" x14ac:dyDescent="0.35">
      <c r="A323" s="106" t="s">
        <v>338</v>
      </c>
      <c r="B323" s="107">
        <v>2259.16</v>
      </c>
      <c r="C323" s="113">
        <v>-4622.59</v>
      </c>
    </row>
    <row r="324" spans="1:3" ht="26" x14ac:dyDescent="0.35">
      <c r="A324" s="111" t="s">
        <v>339</v>
      </c>
      <c r="B324" s="112">
        <v>12699.26</v>
      </c>
      <c r="C324" s="112">
        <v>12036.37</v>
      </c>
    </row>
    <row r="325" spans="1:3" ht="26" x14ac:dyDescent="0.35">
      <c r="A325" s="106" t="s">
        <v>443</v>
      </c>
      <c r="B325" s="107">
        <v>913.66</v>
      </c>
      <c r="C325" s="107">
        <v>406.85</v>
      </c>
    </row>
    <row r="326" spans="1:3" ht="26" x14ac:dyDescent="0.35">
      <c r="A326" s="106" t="s">
        <v>340</v>
      </c>
      <c r="B326" s="109">
        <v>11785.59</v>
      </c>
      <c r="C326" s="109">
        <v>11629.52</v>
      </c>
    </row>
    <row r="327" spans="1:3" x14ac:dyDescent="0.35">
      <c r="A327" s="104" t="s">
        <v>341</v>
      </c>
      <c r="B327" s="105"/>
      <c r="C327" s="105"/>
    </row>
    <row r="328" spans="1:3" ht="26" x14ac:dyDescent="0.35">
      <c r="A328" s="106" t="s">
        <v>342</v>
      </c>
      <c r="B328" s="107">
        <v>9405.9699999999993</v>
      </c>
      <c r="C328" s="109">
        <v>15549.49</v>
      </c>
    </row>
    <row r="329" spans="1:3" ht="26" x14ac:dyDescent="0.35">
      <c r="A329" s="108" t="s">
        <v>343</v>
      </c>
      <c r="B329" s="107">
        <v>9405.9699999999993</v>
      </c>
      <c r="C329" s="109">
        <v>15549.49</v>
      </c>
    </row>
    <row r="330" spans="1:3" x14ac:dyDescent="0.35">
      <c r="A330" s="108" t="s">
        <v>344</v>
      </c>
      <c r="B330" s="107">
        <v>797</v>
      </c>
      <c r="C330" s="107">
        <v>796</v>
      </c>
    </row>
    <row r="331" spans="1:3" ht="26" x14ac:dyDescent="0.35">
      <c r="A331" s="108" t="s">
        <v>345</v>
      </c>
      <c r="B331" s="110">
        <v>11.8</v>
      </c>
      <c r="C331" s="110">
        <v>19.53</v>
      </c>
    </row>
    <row r="332" spans="1:3" ht="26" x14ac:dyDescent="0.35">
      <c r="A332" s="108" t="s">
        <v>346</v>
      </c>
      <c r="B332" s="110">
        <v>11.8</v>
      </c>
      <c r="C332" s="110">
        <v>19.53</v>
      </c>
    </row>
    <row r="333" spans="1:3" ht="26" x14ac:dyDescent="0.35">
      <c r="A333" s="108" t="s">
        <v>347</v>
      </c>
      <c r="B333" s="110">
        <v>22.55</v>
      </c>
      <c r="C333" s="110">
        <v>25.01</v>
      </c>
    </row>
    <row r="334" spans="1:3" ht="26" x14ac:dyDescent="0.35">
      <c r="A334" s="106" t="s">
        <v>348</v>
      </c>
      <c r="B334" s="107">
        <v>9405.9699999999993</v>
      </c>
      <c r="C334" s="109">
        <v>15549.49</v>
      </c>
    </row>
    <row r="335" spans="1:3" x14ac:dyDescent="0.35">
      <c r="A335" s="106" t="s">
        <v>349</v>
      </c>
      <c r="B335" s="110">
        <v>1</v>
      </c>
      <c r="C335" s="110">
        <v>1</v>
      </c>
    </row>
    <row r="336" spans="1:3" x14ac:dyDescent="0.35">
      <c r="A336" s="108" t="s">
        <v>350</v>
      </c>
      <c r="B336" s="107">
        <v>797</v>
      </c>
      <c r="C336" s="107">
        <v>796</v>
      </c>
    </row>
    <row r="337" spans="1:3" ht="26" x14ac:dyDescent="0.35">
      <c r="A337" s="108" t="s">
        <v>351</v>
      </c>
      <c r="B337" s="110">
        <v>11.8</v>
      </c>
      <c r="C337" s="110">
        <v>19.53</v>
      </c>
    </row>
    <row r="338" spans="1:3" ht="26" x14ac:dyDescent="0.35">
      <c r="A338" s="108" t="s">
        <v>352</v>
      </c>
      <c r="B338" s="110">
        <v>11.8</v>
      </c>
      <c r="C338" s="110">
        <v>19.53</v>
      </c>
    </row>
    <row r="339" spans="1:3" ht="26" x14ac:dyDescent="0.35">
      <c r="A339" s="108" t="s">
        <v>353</v>
      </c>
      <c r="B339" s="110">
        <v>22.55</v>
      </c>
      <c r="C339" s="110">
        <v>25.01</v>
      </c>
    </row>
    <row r="340" spans="1:3" ht="26" x14ac:dyDescent="0.35">
      <c r="A340" s="106" t="s">
        <v>354</v>
      </c>
      <c r="B340" s="109">
        <v>0</v>
      </c>
      <c r="C340" s="109">
        <v>0</v>
      </c>
    </row>
    <row r="341" spans="1:3" ht="26" x14ac:dyDescent="0.35">
      <c r="A341" s="106" t="s">
        <v>355</v>
      </c>
      <c r="B341" s="110">
        <v>14.79</v>
      </c>
      <c r="C341" s="110">
        <v>14.61</v>
      </c>
    </row>
    <row r="342" spans="1:3" x14ac:dyDescent="0.35">
      <c r="A342" s="104" t="s">
        <v>356</v>
      </c>
      <c r="B342" s="105"/>
      <c r="C342" s="105"/>
    </row>
    <row r="343" spans="1:3" x14ac:dyDescent="0.35">
      <c r="A343" s="106" t="s">
        <v>653</v>
      </c>
      <c r="B343" s="109">
        <v>0</v>
      </c>
      <c r="C343" s="109"/>
    </row>
    <row r="344" spans="1:3" ht="26" x14ac:dyDescent="0.35">
      <c r="A344" s="106" t="s">
        <v>357</v>
      </c>
      <c r="B344" s="107">
        <v>9405.9699999999993</v>
      </c>
      <c r="C344" s="109">
        <v>15549.49</v>
      </c>
    </row>
    <row r="345" spans="1:3" ht="26" x14ac:dyDescent="0.35">
      <c r="A345" s="108" t="s">
        <v>358</v>
      </c>
      <c r="B345" s="107">
        <v>9405.9699999999993</v>
      </c>
      <c r="C345" s="109">
        <v>15549.49</v>
      </c>
    </row>
    <row r="346" spans="1:3" x14ac:dyDescent="0.35">
      <c r="A346" s="108" t="s">
        <v>359</v>
      </c>
      <c r="B346" s="107">
        <v>802</v>
      </c>
      <c r="C346" s="107">
        <v>803</v>
      </c>
    </row>
    <row r="347" spans="1:3" ht="26" x14ac:dyDescent="0.35">
      <c r="A347" s="108" t="s">
        <v>360</v>
      </c>
      <c r="B347" s="110">
        <v>11.73</v>
      </c>
      <c r="C347" s="110">
        <v>19.36</v>
      </c>
    </row>
    <row r="348" spans="1:3" ht="26" x14ac:dyDescent="0.35">
      <c r="A348" s="108" t="s">
        <v>361</v>
      </c>
      <c r="B348" s="110">
        <v>11.73</v>
      </c>
      <c r="C348" s="110">
        <v>19.36</v>
      </c>
    </row>
    <row r="349" spans="1:3" ht="26" x14ac:dyDescent="0.35">
      <c r="A349" s="108" t="s">
        <v>362</v>
      </c>
      <c r="B349" s="110">
        <v>22.41</v>
      </c>
      <c r="C349" s="110">
        <v>24.79</v>
      </c>
    </row>
    <row r="350" spans="1:3" ht="39" x14ac:dyDescent="0.35">
      <c r="A350" s="106" t="s">
        <v>363</v>
      </c>
      <c r="B350" s="107">
        <v>9405.9699999999993</v>
      </c>
      <c r="C350" s="109">
        <v>15549.49</v>
      </c>
    </row>
    <row r="351" spans="1:3" x14ac:dyDescent="0.35">
      <c r="A351" s="106" t="s">
        <v>364</v>
      </c>
      <c r="B351" s="110">
        <v>1</v>
      </c>
      <c r="C351" s="110">
        <v>1</v>
      </c>
    </row>
    <row r="352" spans="1:3" x14ac:dyDescent="0.35">
      <c r="A352" s="108" t="s">
        <v>365</v>
      </c>
      <c r="B352" s="107">
        <v>802</v>
      </c>
      <c r="C352" s="107">
        <v>803</v>
      </c>
    </row>
    <row r="353" spans="1:3" ht="26" x14ac:dyDescent="0.35">
      <c r="A353" s="108" t="s">
        <v>366</v>
      </c>
      <c r="B353" s="110">
        <v>11.73</v>
      </c>
      <c r="C353" s="110">
        <v>19.36</v>
      </c>
    </row>
    <row r="354" spans="1:3" ht="26" x14ac:dyDescent="0.35">
      <c r="A354" s="108" t="s">
        <v>367</v>
      </c>
      <c r="B354" s="110">
        <v>11.73</v>
      </c>
      <c r="C354" s="110">
        <v>19.36</v>
      </c>
    </row>
    <row r="355" spans="1:3" ht="26" x14ac:dyDescent="0.35">
      <c r="A355" s="108" t="s">
        <v>368</v>
      </c>
      <c r="B355" s="110">
        <v>22.41</v>
      </c>
      <c r="C355" s="110">
        <v>24.79</v>
      </c>
    </row>
    <row r="356" spans="1:3" ht="26" x14ac:dyDescent="0.35">
      <c r="A356" s="106" t="s">
        <v>369</v>
      </c>
      <c r="B356" s="109">
        <v>0</v>
      </c>
      <c r="C356" s="109">
        <v>0</v>
      </c>
    </row>
    <row r="357" spans="1:3" ht="26" x14ac:dyDescent="0.35">
      <c r="A357" s="106" t="s">
        <v>370</v>
      </c>
      <c r="B357" s="110">
        <v>14.7</v>
      </c>
      <c r="C357" s="110">
        <v>14.48</v>
      </c>
    </row>
    <row r="358" spans="1:3" x14ac:dyDescent="0.35">
      <c r="A358" s="104" t="s">
        <v>371</v>
      </c>
      <c r="B358" s="105"/>
      <c r="C358" s="105"/>
    </row>
    <row r="359" spans="1:3" ht="26" x14ac:dyDescent="0.35">
      <c r="A359" s="106" t="s">
        <v>372</v>
      </c>
      <c r="B359" s="110">
        <v>10.91</v>
      </c>
      <c r="C359" s="110">
        <v>11.71</v>
      </c>
    </row>
    <row r="360" spans="1:3" ht="26" x14ac:dyDescent="0.35">
      <c r="A360" s="106" t="s">
        <v>372</v>
      </c>
      <c r="B360" s="110">
        <v>10.91</v>
      </c>
      <c r="C360" s="110">
        <v>11.71</v>
      </c>
    </row>
    <row r="361" spans="1:3" ht="26" x14ac:dyDescent="0.35">
      <c r="A361" s="106" t="s">
        <v>372</v>
      </c>
      <c r="B361" s="109">
        <v>0</v>
      </c>
      <c r="C361" s="109">
        <v>0</v>
      </c>
    </row>
    <row r="362" spans="1:3" ht="26" x14ac:dyDescent="0.35">
      <c r="A362" s="106" t="s">
        <v>373</v>
      </c>
      <c r="B362" s="110">
        <v>7.09</v>
      </c>
      <c r="C362" s="110">
        <v>7.61</v>
      </c>
    </row>
    <row r="363" spans="1:3" ht="26" x14ac:dyDescent="0.35">
      <c r="A363" s="106" t="s">
        <v>373</v>
      </c>
      <c r="B363" s="110">
        <v>7.09</v>
      </c>
      <c r="C363" s="110">
        <v>7.61</v>
      </c>
    </row>
    <row r="364" spans="1:3" ht="26" x14ac:dyDescent="0.35">
      <c r="A364" s="106" t="s">
        <v>373</v>
      </c>
      <c r="B364" s="109">
        <v>0</v>
      </c>
      <c r="C364" s="109">
        <v>0</v>
      </c>
    </row>
    <row r="365" spans="1:3" ht="26" x14ac:dyDescent="0.35">
      <c r="A365" s="106" t="s">
        <v>541</v>
      </c>
      <c r="B365" s="110">
        <v>1.35</v>
      </c>
      <c r="C365" s="110">
        <v>1.39</v>
      </c>
    </row>
    <row r="366" spans="1:3" ht="26" x14ac:dyDescent="0.35">
      <c r="A366" s="106" t="s">
        <v>542</v>
      </c>
      <c r="B366" s="110">
        <v>0.85</v>
      </c>
      <c r="C366" s="110">
        <v>0.88</v>
      </c>
    </row>
    <row r="367" spans="1:3" x14ac:dyDescent="0.35">
      <c r="A367" s="104" t="s">
        <v>374</v>
      </c>
      <c r="B367" s="105"/>
      <c r="C367" s="105"/>
    </row>
    <row r="368" spans="1:3" x14ac:dyDescent="0.35">
      <c r="A368" s="106" t="s">
        <v>78</v>
      </c>
      <c r="B368" s="109">
        <v>23680.28</v>
      </c>
      <c r="C368" s="109">
        <v>25983.83</v>
      </c>
    </row>
    <row r="369" spans="1:3" ht="26" x14ac:dyDescent="0.35">
      <c r="A369" s="106" t="s">
        <v>80</v>
      </c>
      <c r="B369" s="109">
        <v>27570.17</v>
      </c>
      <c r="C369" s="109">
        <v>30071.61</v>
      </c>
    </row>
    <row r="370" spans="1:3" x14ac:dyDescent="0.35">
      <c r="A370" s="104" t="s">
        <v>377</v>
      </c>
      <c r="B370" s="105"/>
      <c r="C370" s="105"/>
    </row>
    <row r="371" spans="1:3" x14ac:dyDescent="0.35">
      <c r="A371" s="106" t="s">
        <v>378</v>
      </c>
      <c r="B371" s="107">
        <v>4264.8999999999996</v>
      </c>
      <c r="C371" s="107">
        <v>4440.3</v>
      </c>
    </row>
    <row r="372" spans="1:3" x14ac:dyDescent="0.35">
      <c r="A372" s="108" t="s">
        <v>379</v>
      </c>
      <c r="B372" s="107">
        <v>3046.68</v>
      </c>
      <c r="C372" s="107">
        <v>3271.67</v>
      </c>
    </row>
    <row r="373" spans="1:3" ht="26" x14ac:dyDescent="0.35">
      <c r="A373" s="108" t="s">
        <v>380</v>
      </c>
      <c r="B373" s="107">
        <v>367.06</v>
      </c>
      <c r="C373" s="107">
        <v>362.18</v>
      </c>
    </row>
    <row r="374" spans="1:3" x14ac:dyDescent="0.35">
      <c r="A374" s="108" t="s">
        <v>477</v>
      </c>
      <c r="B374" s="107">
        <v>1218.22</v>
      </c>
      <c r="C374" s="107">
        <v>1168.6300000000001</v>
      </c>
    </row>
    <row r="375" spans="1:3" x14ac:dyDescent="0.35">
      <c r="A375" s="108" t="s">
        <v>497</v>
      </c>
      <c r="B375" s="107">
        <v>1218.22</v>
      </c>
      <c r="C375" s="107">
        <v>1168.6300000000001</v>
      </c>
    </row>
    <row r="376" spans="1:3" ht="26" x14ac:dyDescent="0.35">
      <c r="A376" s="108" t="s">
        <v>654</v>
      </c>
      <c r="B376" s="107">
        <v>740.93</v>
      </c>
      <c r="C376" s="107">
        <v>738.84</v>
      </c>
    </row>
    <row r="377" spans="1:3" ht="26" x14ac:dyDescent="0.35">
      <c r="A377" s="108" t="s">
        <v>581</v>
      </c>
      <c r="B377" s="107">
        <v>375.01</v>
      </c>
      <c r="C377" s="107">
        <v>352.52</v>
      </c>
    </row>
    <row r="378" spans="1:3" x14ac:dyDescent="0.35">
      <c r="A378" s="104" t="s">
        <v>381</v>
      </c>
      <c r="B378" s="105"/>
      <c r="C378" s="105"/>
    </row>
    <row r="379" spans="1:3" x14ac:dyDescent="0.35">
      <c r="A379" s="106" t="s">
        <v>79</v>
      </c>
      <c r="B379" s="107">
        <v>3889.89</v>
      </c>
      <c r="C379" s="107">
        <v>4087.78</v>
      </c>
    </row>
    <row r="380" spans="1:3" x14ac:dyDescent="0.35">
      <c r="A380" s="108" t="s">
        <v>382</v>
      </c>
      <c r="B380" s="107">
        <v>3046.68</v>
      </c>
      <c r="C380" s="107">
        <v>3271.67</v>
      </c>
    </row>
    <row r="381" spans="1:3" ht="26" x14ac:dyDescent="0.35">
      <c r="A381" s="108" t="s">
        <v>498</v>
      </c>
      <c r="B381" s="107">
        <v>843.21</v>
      </c>
      <c r="C381" s="107">
        <v>816.11</v>
      </c>
    </row>
    <row r="382" spans="1:3" x14ac:dyDescent="0.35">
      <c r="A382" s="104" t="s">
        <v>383</v>
      </c>
      <c r="B382" s="105"/>
      <c r="C382" s="105"/>
    </row>
    <row r="383" spans="1:3" ht="26" x14ac:dyDescent="0.35">
      <c r="A383" s="106" t="s">
        <v>384</v>
      </c>
      <c r="B383" s="109">
        <v>14153.85</v>
      </c>
      <c r="C383" s="109">
        <v>14718.9</v>
      </c>
    </row>
    <row r="384" spans="1:3" x14ac:dyDescent="0.35">
      <c r="A384" s="108" t="s">
        <v>72</v>
      </c>
      <c r="B384" s="109">
        <v>14153.85</v>
      </c>
      <c r="C384" s="109">
        <v>14718.9</v>
      </c>
    </row>
    <row r="385" spans="1:3" x14ac:dyDescent="0.35">
      <c r="A385" s="104" t="s">
        <v>385</v>
      </c>
      <c r="B385" s="105"/>
      <c r="C385" s="105"/>
    </row>
    <row r="386" spans="1:3" x14ac:dyDescent="0.35">
      <c r="A386" s="106" t="s">
        <v>548</v>
      </c>
      <c r="B386" s="109">
        <v>19289.23</v>
      </c>
      <c r="C386" s="109">
        <v>20717.77</v>
      </c>
    </row>
    <row r="387" spans="1:3" x14ac:dyDescent="0.35">
      <c r="A387" s="106" t="s">
        <v>386</v>
      </c>
      <c r="B387" s="109">
        <v>19289.23</v>
      </c>
      <c r="C387" s="109">
        <v>20717.77</v>
      </c>
    </row>
    <row r="388" spans="1:3" ht="26" x14ac:dyDescent="0.35">
      <c r="A388" s="108" t="s">
        <v>387</v>
      </c>
      <c r="B388" s="107">
        <v>826.56</v>
      </c>
      <c r="C388" s="107">
        <v>880.15</v>
      </c>
    </row>
    <row r="389" spans="1:3" ht="26" x14ac:dyDescent="0.35">
      <c r="A389" s="108" t="s">
        <v>388</v>
      </c>
      <c r="B389" s="107">
        <v>971.62</v>
      </c>
      <c r="C389" s="107">
        <v>1034.6199999999999</v>
      </c>
    </row>
    <row r="390" spans="1:3" ht="26" x14ac:dyDescent="0.35">
      <c r="A390" s="108" t="s">
        <v>389</v>
      </c>
      <c r="B390" s="107">
        <v>145.06</v>
      </c>
      <c r="C390" s="107">
        <v>154.47</v>
      </c>
    </row>
    <row r="391" spans="1:3" x14ac:dyDescent="0.35">
      <c r="A391" s="104" t="s">
        <v>390</v>
      </c>
      <c r="B391" s="105"/>
      <c r="C391" s="105"/>
    </row>
    <row r="392" spans="1:3" x14ac:dyDescent="0.35">
      <c r="A392" s="106" t="s">
        <v>390</v>
      </c>
      <c r="B392" s="110">
        <v>27.61</v>
      </c>
      <c r="C392" s="110">
        <v>31.39</v>
      </c>
    </row>
    <row r="393" spans="1:3" x14ac:dyDescent="0.35">
      <c r="A393" s="108" t="s">
        <v>391</v>
      </c>
      <c r="B393" s="110">
        <v>25</v>
      </c>
      <c r="C393" s="110">
        <v>28.49</v>
      </c>
    </row>
    <row r="394" spans="1:3" x14ac:dyDescent="0.35">
      <c r="A394" s="108" t="s">
        <v>392</v>
      </c>
      <c r="B394" s="110">
        <v>2.39</v>
      </c>
      <c r="C394" s="110">
        <v>2.66</v>
      </c>
    </row>
    <row r="395" spans="1:3" x14ac:dyDescent="0.35">
      <c r="A395" s="108" t="s">
        <v>444</v>
      </c>
      <c r="B395" s="110">
        <v>0.23</v>
      </c>
      <c r="C395" s="110">
        <v>0.24</v>
      </c>
    </row>
    <row r="396" spans="1:3" x14ac:dyDescent="0.35">
      <c r="A396" s="104" t="s">
        <v>451</v>
      </c>
      <c r="B396" s="105"/>
      <c r="C396" s="105"/>
    </row>
    <row r="397" spans="1:3" x14ac:dyDescent="0.35">
      <c r="A397" s="106" t="s">
        <v>655</v>
      </c>
      <c r="B397" s="109">
        <v>68746.44</v>
      </c>
      <c r="C397" s="109">
        <v>74265.73</v>
      </c>
    </row>
    <row r="398" spans="1:3" ht="26" x14ac:dyDescent="0.35">
      <c r="A398" s="106" t="s">
        <v>480</v>
      </c>
      <c r="B398" s="109">
        <v>23663.23</v>
      </c>
      <c r="C398" s="109">
        <v>26358.080000000002</v>
      </c>
    </row>
    <row r="399" spans="1:3" ht="26" x14ac:dyDescent="0.35">
      <c r="A399" s="106" t="s">
        <v>452</v>
      </c>
      <c r="B399" s="109">
        <v>17138.03</v>
      </c>
      <c r="C399" s="109">
        <v>18859.8</v>
      </c>
    </row>
    <row r="400" spans="1:3" x14ac:dyDescent="0.35">
      <c r="A400" s="106" t="s">
        <v>656</v>
      </c>
      <c r="B400" s="109">
        <v>26748.55</v>
      </c>
      <c r="C400" s="109">
        <v>29708.22</v>
      </c>
    </row>
    <row r="401" spans="1:3" x14ac:dyDescent="0.35">
      <c r="A401" s="106" t="s">
        <v>657</v>
      </c>
      <c r="B401" s="110">
        <v>21.51</v>
      </c>
      <c r="C401" s="110">
        <v>23.7</v>
      </c>
    </row>
    <row r="402" spans="1:3" x14ac:dyDescent="0.35">
      <c r="A402" s="106" t="s">
        <v>622</v>
      </c>
      <c r="B402" s="110">
        <v>21.36</v>
      </c>
      <c r="C402" s="110">
        <v>23.49</v>
      </c>
    </row>
    <row r="403" spans="1:3" ht="26" x14ac:dyDescent="0.35">
      <c r="A403" s="106" t="s">
        <v>658</v>
      </c>
      <c r="B403" s="115">
        <v>34.4</v>
      </c>
      <c r="C403" s="115">
        <v>35.5</v>
      </c>
    </row>
    <row r="404" spans="1:3" x14ac:dyDescent="0.35">
      <c r="A404" s="104" t="s">
        <v>393</v>
      </c>
      <c r="B404" s="105"/>
      <c r="C404" s="105"/>
    </row>
    <row r="405" spans="1:3" x14ac:dyDescent="0.35">
      <c r="A405" s="106" t="s">
        <v>394</v>
      </c>
      <c r="B405" s="109">
        <v>19009.68</v>
      </c>
      <c r="C405" s="109">
        <v>21015.96</v>
      </c>
    </row>
    <row r="406" spans="1:3" ht="26" x14ac:dyDescent="0.35">
      <c r="A406" s="106" t="s">
        <v>395</v>
      </c>
      <c r="B406" s="109">
        <v>19009.68</v>
      </c>
      <c r="C406" s="109">
        <v>21015.96</v>
      </c>
    </row>
    <row r="407" spans="1:3" x14ac:dyDescent="0.35">
      <c r="A407" s="106" t="s">
        <v>396</v>
      </c>
      <c r="B407" s="109">
        <v>17975.55</v>
      </c>
      <c r="C407" s="109">
        <v>19906.490000000002</v>
      </c>
    </row>
    <row r="408" spans="1:3" ht="26" x14ac:dyDescent="0.35">
      <c r="A408" s="106" t="s">
        <v>397</v>
      </c>
      <c r="B408" s="109">
        <v>23083.67</v>
      </c>
      <c r="C408" s="109">
        <v>26026.080000000002</v>
      </c>
    </row>
    <row r="409" spans="1:3" ht="26" x14ac:dyDescent="0.35">
      <c r="A409" s="106" t="s">
        <v>398</v>
      </c>
      <c r="B409" s="109">
        <v>26973.56</v>
      </c>
      <c r="C409" s="109">
        <v>30113.86</v>
      </c>
    </row>
    <row r="410" spans="1:3" x14ac:dyDescent="0.35">
      <c r="A410" s="104" t="s">
        <v>659</v>
      </c>
      <c r="B410" s="105"/>
      <c r="C410" s="105"/>
    </row>
    <row r="411" spans="1:3" ht="26" x14ac:dyDescent="0.35">
      <c r="A411" s="106" t="s">
        <v>660</v>
      </c>
      <c r="B411" s="110">
        <v>25</v>
      </c>
      <c r="C411" s="113">
        <v>-537.23</v>
      </c>
    </row>
    <row r="412" spans="1:3" ht="26" x14ac:dyDescent="0.35">
      <c r="A412" s="108" t="s">
        <v>661</v>
      </c>
      <c r="B412" s="114">
        <v>-2.27</v>
      </c>
      <c r="C412" s="114">
        <v>-2.41</v>
      </c>
    </row>
    <row r="413" spans="1:3" x14ac:dyDescent="0.35">
      <c r="A413" s="104" t="s">
        <v>399</v>
      </c>
      <c r="B413" s="105"/>
      <c r="C413" s="105"/>
    </row>
    <row r="414" spans="1:3" x14ac:dyDescent="0.35">
      <c r="A414" s="106" t="s">
        <v>400</v>
      </c>
      <c r="B414" s="109"/>
      <c r="C414" s="109"/>
    </row>
    <row r="415" spans="1:3" ht="26" x14ac:dyDescent="0.35">
      <c r="A415" s="108" t="s">
        <v>402</v>
      </c>
      <c r="B415" s="107">
        <v>367.06</v>
      </c>
      <c r="C415" s="107">
        <v>362.18</v>
      </c>
    </row>
    <row r="416" spans="1:3" x14ac:dyDescent="0.35">
      <c r="A416" s="108" t="s">
        <v>662</v>
      </c>
      <c r="B416" s="110">
        <v>48.87</v>
      </c>
      <c r="C416" s="110">
        <v>43.46</v>
      </c>
    </row>
    <row r="417" spans="1:3" ht="26" x14ac:dyDescent="0.35">
      <c r="A417" s="108" t="s">
        <v>403</v>
      </c>
      <c r="B417" s="110">
        <v>45.46</v>
      </c>
      <c r="C417" s="110">
        <v>50.7</v>
      </c>
    </row>
    <row r="418" spans="1:3" x14ac:dyDescent="0.35">
      <c r="A418" s="108" t="s">
        <v>404</v>
      </c>
      <c r="B418" s="110">
        <v>42.05</v>
      </c>
      <c r="C418" s="110">
        <v>39.840000000000003</v>
      </c>
    </row>
    <row r="419" spans="1:3" x14ac:dyDescent="0.35">
      <c r="A419" s="108" t="s">
        <v>482</v>
      </c>
      <c r="B419" s="110">
        <v>7.95</v>
      </c>
      <c r="C419" s="110">
        <v>7.24</v>
      </c>
    </row>
    <row r="420" spans="1:3" x14ac:dyDescent="0.35">
      <c r="A420" s="104" t="s">
        <v>82</v>
      </c>
      <c r="B420" s="105"/>
      <c r="C420" s="105"/>
    </row>
    <row r="421" spans="1:3" ht="26" x14ac:dyDescent="0.35">
      <c r="A421" s="106" t="s">
        <v>406</v>
      </c>
      <c r="B421" s="109">
        <v>17864.189999999999</v>
      </c>
      <c r="C421" s="109">
        <v>19363.22</v>
      </c>
    </row>
    <row r="422" spans="1:3" x14ac:dyDescent="0.35">
      <c r="A422" s="106" t="s">
        <v>407</v>
      </c>
      <c r="B422" s="109">
        <v>17426.669999999998</v>
      </c>
      <c r="C422" s="109">
        <v>18921.37</v>
      </c>
    </row>
    <row r="423" spans="1:3" x14ac:dyDescent="0.35">
      <c r="A423" s="106" t="s">
        <v>408</v>
      </c>
      <c r="B423" s="107">
        <v>1408</v>
      </c>
      <c r="C423" s="107">
        <v>1423.36</v>
      </c>
    </row>
    <row r="424" spans="1:3" x14ac:dyDescent="0.35">
      <c r="A424" s="106" t="s">
        <v>280</v>
      </c>
      <c r="B424" s="109">
        <v>45066.16</v>
      </c>
      <c r="C424" s="109">
        <v>48281.9</v>
      </c>
    </row>
    <row r="425" spans="1:3" ht="26" x14ac:dyDescent="0.35">
      <c r="A425" s="106" t="s">
        <v>70</v>
      </c>
      <c r="B425" s="109">
        <v>15918.67</v>
      </c>
      <c r="C425" s="109">
        <v>16930.599999999999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61"/>
  <sheetViews>
    <sheetView workbookViewId="0"/>
  </sheetViews>
  <sheetFormatPr defaultRowHeight="14.5" x14ac:dyDescent="0.35"/>
  <cols>
    <col min="1" max="1" width="22" customWidth="1"/>
    <col min="2" max="2" width="34" customWidth="1"/>
    <col min="3" max="3" width="58" customWidth="1"/>
    <col min="4" max="4" width="14" customWidth="1"/>
    <col min="5" max="5" width="16" customWidth="1"/>
    <col min="6" max="6" width="52" customWidth="1"/>
  </cols>
  <sheetData>
    <row r="1" spans="1:6" ht="18.5" x14ac:dyDescent="0.35">
      <c r="A1" s="145" t="s">
        <v>663</v>
      </c>
      <c r="B1" s="145"/>
      <c r="C1" s="145"/>
      <c r="D1" s="145"/>
      <c r="E1" s="145"/>
      <c r="F1" s="145"/>
    </row>
    <row r="2" spans="1:6" x14ac:dyDescent="0.35">
      <c r="A2" s="59" t="s">
        <v>664</v>
      </c>
      <c r="B2" s="59" t="s">
        <v>665</v>
      </c>
      <c r="C2" s="59" t="s">
        <v>666</v>
      </c>
      <c r="D2" s="59" t="s">
        <v>667</v>
      </c>
      <c r="E2" s="59" t="s">
        <v>668</v>
      </c>
      <c r="F2" s="59" t="s">
        <v>669</v>
      </c>
    </row>
    <row r="3" spans="1:6" x14ac:dyDescent="0.35">
      <c r="A3" s="61" t="s">
        <v>670</v>
      </c>
      <c r="B3" s="61" t="s">
        <v>671</v>
      </c>
      <c r="C3" s="61" t="s">
        <v>12</v>
      </c>
      <c r="D3" s="61" t="s">
        <v>672</v>
      </c>
      <c r="E3" s="61" t="s">
        <v>673</v>
      </c>
      <c r="F3" s="61" t="s">
        <v>674</v>
      </c>
    </row>
    <row r="4" spans="1:6" x14ac:dyDescent="0.35">
      <c r="A4" s="61" t="s">
        <v>670</v>
      </c>
      <c r="B4" s="61" t="s">
        <v>13</v>
      </c>
      <c r="C4" s="61" t="s">
        <v>14</v>
      </c>
      <c r="D4" s="61" t="s">
        <v>672</v>
      </c>
      <c r="E4" s="61" t="s">
        <v>675</v>
      </c>
      <c r="F4" s="61" t="s">
        <v>676</v>
      </c>
    </row>
    <row r="5" spans="1:6" x14ac:dyDescent="0.35">
      <c r="A5" s="61" t="s">
        <v>670</v>
      </c>
      <c r="B5" s="61" t="s">
        <v>15</v>
      </c>
      <c r="C5" s="61" t="s">
        <v>16</v>
      </c>
      <c r="D5" s="61" t="s">
        <v>672</v>
      </c>
      <c r="E5" s="61" t="s">
        <v>677</v>
      </c>
      <c r="F5" s="61" t="s">
        <v>674</v>
      </c>
    </row>
    <row r="6" spans="1:6" x14ac:dyDescent="0.35">
      <c r="A6" s="61" t="s">
        <v>670</v>
      </c>
      <c r="B6" s="61" t="s">
        <v>17</v>
      </c>
      <c r="C6" s="61" t="s">
        <v>18</v>
      </c>
      <c r="D6" s="61" t="s">
        <v>672</v>
      </c>
      <c r="E6" s="61" t="s">
        <v>675</v>
      </c>
      <c r="F6" s="61" t="s">
        <v>678</v>
      </c>
    </row>
    <row r="7" spans="1:6" ht="29" x14ac:dyDescent="0.35">
      <c r="A7" s="61" t="s">
        <v>670</v>
      </c>
      <c r="B7" s="61" t="s">
        <v>19</v>
      </c>
      <c r="C7" s="61" t="s">
        <v>74</v>
      </c>
      <c r="D7" s="61" t="s">
        <v>679</v>
      </c>
      <c r="E7" s="61" t="s">
        <v>673</v>
      </c>
      <c r="F7" s="61" t="s">
        <v>680</v>
      </c>
    </row>
    <row r="8" spans="1:6" x14ac:dyDescent="0.35">
      <c r="A8" s="61" t="s">
        <v>670</v>
      </c>
      <c r="B8" s="61" t="s">
        <v>681</v>
      </c>
      <c r="C8" s="61" t="s">
        <v>22</v>
      </c>
      <c r="D8" s="61" t="s">
        <v>672</v>
      </c>
      <c r="E8" s="61" t="s">
        <v>673</v>
      </c>
      <c r="F8" s="61" t="s">
        <v>682</v>
      </c>
    </row>
    <row r="9" spans="1:6" x14ac:dyDescent="0.35">
      <c r="A9" s="61" t="s">
        <v>670</v>
      </c>
      <c r="B9" s="61" t="s">
        <v>683</v>
      </c>
      <c r="C9" s="61" t="s">
        <v>25</v>
      </c>
      <c r="D9" s="61" t="s">
        <v>672</v>
      </c>
      <c r="E9" s="61" t="s">
        <v>684</v>
      </c>
      <c r="F9" s="61" t="s">
        <v>685</v>
      </c>
    </row>
    <row r="10" spans="1:6" x14ac:dyDescent="0.35">
      <c r="A10" s="61" t="s">
        <v>670</v>
      </c>
      <c r="B10" s="61" t="s">
        <v>686</v>
      </c>
      <c r="C10" s="61" t="s">
        <v>27</v>
      </c>
      <c r="D10" s="61" t="s">
        <v>672</v>
      </c>
      <c r="E10" s="61" t="s">
        <v>673</v>
      </c>
      <c r="F10" s="61" t="s">
        <v>674</v>
      </c>
    </row>
    <row r="11" spans="1:6" x14ac:dyDescent="0.35">
      <c r="A11" s="61" t="s">
        <v>670</v>
      </c>
      <c r="B11" s="61" t="s">
        <v>687</v>
      </c>
      <c r="C11" s="61" t="s">
        <v>29</v>
      </c>
      <c r="D11" s="61" t="s">
        <v>672</v>
      </c>
      <c r="E11" s="61" t="s">
        <v>684</v>
      </c>
      <c r="F11" s="61" t="s">
        <v>685</v>
      </c>
    </row>
    <row r="12" spans="1:6" ht="29" x14ac:dyDescent="0.35">
      <c r="A12" s="61" t="s">
        <v>670</v>
      </c>
      <c r="B12" s="61" t="s">
        <v>688</v>
      </c>
      <c r="C12" s="61" t="s">
        <v>74</v>
      </c>
      <c r="D12" s="61" t="s">
        <v>679</v>
      </c>
      <c r="E12" s="61" t="s">
        <v>673</v>
      </c>
      <c r="F12" s="61" t="s">
        <v>689</v>
      </c>
    </row>
    <row r="13" spans="1:6" x14ac:dyDescent="0.35">
      <c r="A13" s="61" t="s">
        <v>670</v>
      </c>
      <c r="B13" s="61" t="s">
        <v>690</v>
      </c>
      <c r="C13" s="61" t="s">
        <v>33</v>
      </c>
      <c r="D13" s="61" t="s">
        <v>672</v>
      </c>
      <c r="E13" s="61" t="s">
        <v>673</v>
      </c>
      <c r="F13" s="61" t="s">
        <v>682</v>
      </c>
    </row>
    <row r="14" spans="1:6" x14ac:dyDescent="0.35">
      <c r="A14" s="61" t="s">
        <v>670</v>
      </c>
      <c r="B14" s="61" t="s">
        <v>691</v>
      </c>
      <c r="C14" s="61" t="s">
        <v>35</v>
      </c>
      <c r="D14" s="61" t="s">
        <v>672</v>
      </c>
      <c r="E14" s="61" t="s">
        <v>673</v>
      </c>
      <c r="F14" s="61" t="s">
        <v>682</v>
      </c>
    </row>
    <row r="15" spans="1:6" x14ac:dyDescent="0.35">
      <c r="A15" s="61" t="s">
        <v>670</v>
      </c>
      <c r="B15" s="61" t="s">
        <v>692</v>
      </c>
      <c r="C15" s="61" t="s">
        <v>37</v>
      </c>
      <c r="D15" s="61" t="s">
        <v>672</v>
      </c>
      <c r="E15" s="61" t="s">
        <v>673</v>
      </c>
      <c r="F15" s="61" t="s">
        <v>674</v>
      </c>
    </row>
    <row r="16" spans="1:6" x14ac:dyDescent="0.35">
      <c r="A16" s="61" t="s">
        <v>670</v>
      </c>
      <c r="B16" s="61" t="s">
        <v>693</v>
      </c>
      <c r="C16" s="61" t="s">
        <v>39</v>
      </c>
      <c r="D16" s="61" t="s">
        <v>672</v>
      </c>
      <c r="E16" s="61" t="s">
        <v>677</v>
      </c>
      <c r="F16" s="61" t="s">
        <v>694</v>
      </c>
    </row>
    <row r="17" spans="1:6" x14ac:dyDescent="0.35">
      <c r="A17" s="61" t="s">
        <v>670</v>
      </c>
      <c r="B17" s="61" t="s">
        <v>695</v>
      </c>
      <c r="C17" s="61" t="s">
        <v>74</v>
      </c>
      <c r="D17" s="61" t="s">
        <v>679</v>
      </c>
      <c r="E17" s="61" t="s">
        <v>673</v>
      </c>
      <c r="F17" s="61" t="s">
        <v>696</v>
      </c>
    </row>
    <row r="18" spans="1:6" x14ac:dyDescent="0.35">
      <c r="A18" s="61" t="s">
        <v>670</v>
      </c>
      <c r="B18" s="61" t="s">
        <v>697</v>
      </c>
      <c r="C18" s="61" t="s">
        <v>43</v>
      </c>
      <c r="D18" s="61" t="s">
        <v>672</v>
      </c>
      <c r="E18" s="61" t="s">
        <v>673</v>
      </c>
      <c r="F18" s="61" t="s">
        <v>682</v>
      </c>
    </row>
    <row r="19" spans="1:6" x14ac:dyDescent="0.35">
      <c r="A19" s="61" t="s">
        <v>670</v>
      </c>
      <c r="B19" s="61" t="s">
        <v>698</v>
      </c>
      <c r="C19" s="61" t="s">
        <v>45</v>
      </c>
      <c r="D19" s="61" t="s">
        <v>672</v>
      </c>
      <c r="E19" s="61" t="s">
        <v>673</v>
      </c>
      <c r="F19" s="61" t="s">
        <v>674</v>
      </c>
    </row>
    <row r="20" spans="1:6" x14ac:dyDescent="0.35">
      <c r="A20" s="61" t="s">
        <v>670</v>
      </c>
      <c r="B20" s="61" t="s">
        <v>699</v>
      </c>
      <c r="C20" s="61" t="s">
        <v>74</v>
      </c>
      <c r="D20" s="61" t="s">
        <v>679</v>
      </c>
      <c r="E20" s="61" t="s">
        <v>673</v>
      </c>
      <c r="F20" s="61" t="s">
        <v>700</v>
      </c>
    </row>
    <row r="21" spans="1:6" x14ac:dyDescent="0.35">
      <c r="A21" s="61" t="s">
        <v>670</v>
      </c>
      <c r="B21" s="61" t="s">
        <v>701</v>
      </c>
      <c r="C21" s="61" t="s">
        <v>49</v>
      </c>
      <c r="D21" s="61" t="s">
        <v>672</v>
      </c>
      <c r="E21" s="61" t="s">
        <v>673</v>
      </c>
      <c r="F21" s="61" t="s">
        <v>682</v>
      </c>
    </row>
    <row r="22" spans="1:6" x14ac:dyDescent="0.35">
      <c r="A22" s="61" t="s">
        <v>670</v>
      </c>
      <c r="B22" s="61" t="s">
        <v>702</v>
      </c>
      <c r="C22" s="61" t="s">
        <v>51</v>
      </c>
      <c r="D22" s="61" t="s">
        <v>672</v>
      </c>
      <c r="E22" s="61" t="s">
        <v>673</v>
      </c>
      <c r="F22" s="61" t="s">
        <v>682</v>
      </c>
    </row>
    <row r="23" spans="1:6" x14ac:dyDescent="0.35">
      <c r="A23" s="61" t="s">
        <v>670</v>
      </c>
      <c r="B23" s="61" t="s">
        <v>703</v>
      </c>
      <c r="C23" s="61" t="s">
        <v>53</v>
      </c>
      <c r="D23" s="61" t="s">
        <v>672</v>
      </c>
      <c r="E23" s="61" t="s">
        <v>673</v>
      </c>
      <c r="F23" s="61" t="s">
        <v>704</v>
      </c>
    </row>
    <row r="24" spans="1:6" ht="29" x14ac:dyDescent="0.35">
      <c r="A24" s="61" t="s">
        <v>670</v>
      </c>
      <c r="B24" s="61" t="s">
        <v>705</v>
      </c>
      <c r="C24" s="61" t="s">
        <v>74</v>
      </c>
      <c r="D24" s="61" t="s">
        <v>679</v>
      </c>
      <c r="E24" s="61" t="s">
        <v>673</v>
      </c>
      <c r="F24" s="61" t="s">
        <v>706</v>
      </c>
    </row>
    <row r="25" spans="1:6" x14ac:dyDescent="0.35">
      <c r="A25" s="61" t="s">
        <v>670</v>
      </c>
      <c r="B25" s="61" t="s">
        <v>707</v>
      </c>
      <c r="C25" s="61" t="s">
        <v>57</v>
      </c>
      <c r="D25" s="61" t="s">
        <v>672</v>
      </c>
      <c r="E25" s="61" t="s">
        <v>673</v>
      </c>
      <c r="F25" s="61" t="s">
        <v>682</v>
      </c>
    </row>
    <row r="26" spans="1:6" x14ac:dyDescent="0.35">
      <c r="A26" s="61" t="s">
        <v>670</v>
      </c>
      <c r="B26" s="61" t="s">
        <v>708</v>
      </c>
      <c r="C26" s="61" t="s">
        <v>60</v>
      </c>
      <c r="D26" s="61" t="s">
        <v>672</v>
      </c>
      <c r="E26" s="61" t="s">
        <v>673</v>
      </c>
      <c r="F26" s="61" t="s">
        <v>709</v>
      </c>
    </row>
    <row r="27" spans="1:6" x14ac:dyDescent="0.35">
      <c r="A27" s="62" t="s">
        <v>710</v>
      </c>
      <c r="B27" s="62" t="s">
        <v>711</v>
      </c>
      <c r="C27" s="62" t="s">
        <v>64</v>
      </c>
      <c r="D27" s="62" t="s">
        <v>672</v>
      </c>
      <c r="E27" s="62" t="s">
        <v>673</v>
      </c>
      <c r="F27" s="62" t="s">
        <v>712</v>
      </c>
    </row>
    <row r="28" spans="1:6" x14ac:dyDescent="0.35">
      <c r="A28" s="62" t="s">
        <v>710</v>
      </c>
      <c r="B28" s="62" t="s">
        <v>713</v>
      </c>
      <c r="C28" s="62" t="s">
        <v>74</v>
      </c>
      <c r="D28" s="62" t="s">
        <v>679</v>
      </c>
      <c r="E28" s="62" t="s">
        <v>673</v>
      </c>
      <c r="F28" s="62" t="s">
        <v>714</v>
      </c>
    </row>
    <row r="29" spans="1:6" x14ac:dyDescent="0.35">
      <c r="A29" s="62" t="s">
        <v>710</v>
      </c>
      <c r="B29" s="62" t="s">
        <v>715</v>
      </c>
      <c r="C29" s="62" t="s">
        <v>68</v>
      </c>
      <c r="D29" s="62" t="s">
        <v>672</v>
      </c>
      <c r="E29" s="62" t="s">
        <v>673</v>
      </c>
      <c r="F29" s="62" t="s">
        <v>716</v>
      </c>
    </row>
    <row r="30" spans="1:6" ht="29" x14ac:dyDescent="0.35">
      <c r="A30" s="62" t="s">
        <v>710</v>
      </c>
      <c r="B30" s="62" t="s">
        <v>717</v>
      </c>
      <c r="C30" s="62" t="s">
        <v>70</v>
      </c>
      <c r="D30" s="62" t="s">
        <v>672</v>
      </c>
      <c r="E30" s="62" t="s">
        <v>673</v>
      </c>
      <c r="F30" s="62" t="s">
        <v>718</v>
      </c>
    </row>
    <row r="31" spans="1:6" x14ac:dyDescent="0.35">
      <c r="A31" s="62" t="s">
        <v>710</v>
      </c>
      <c r="B31" s="62" t="s">
        <v>719</v>
      </c>
      <c r="C31" s="62" t="s">
        <v>72</v>
      </c>
      <c r="D31" s="62" t="s">
        <v>672</v>
      </c>
      <c r="E31" s="62" t="s">
        <v>677</v>
      </c>
      <c r="F31" s="62" t="s">
        <v>720</v>
      </c>
    </row>
    <row r="32" spans="1:6" x14ac:dyDescent="0.35">
      <c r="A32" s="62" t="s">
        <v>710</v>
      </c>
      <c r="B32" s="62" t="s">
        <v>721</v>
      </c>
      <c r="C32" s="62" t="s">
        <v>74</v>
      </c>
      <c r="D32" s="62" t="s">
        <v>679</v>
      </c>
      <c r="E32" s="62" t="s">
        <v>673</v>
      </c>
      <c r="F32" s="62" t="s">
        <v>722</v>
      </c>
    </row>
    <row r="33" spans="1:6" x14ac:dyDescent="0.35">
      <c r="A33" s="62" t="s">
        <v>710</v>
      </c>
      <c r="B33" s="62" t="s">
        <v>723</v>
      </c>
      <c r="C33" s="62" t="s">
        <v>76</v>
      </c>
      <c r="D33" s="62" t="s">
        <v>672</v>
      </c>
      <c r="E33" s="62" t="s">
        <v>673</v>
      </c>
      <c r="F33" s="62" t="s">
        <v>682</v>
      </c>
    </row>
    <row r="34" spans="1:6" x14ac:dyDescent="0.35">
      <c r="A34" s="62" t="s">
        <v>710</v>
      </c>
      <c r="B34" s="62" t="s">
        <v>724</v>
      </c>
      <c r="C34" s="62" t="s">
        <v>78</v>
      </c>
      <c r="D34" s="62" t="s">
        <v>672</v>
      </c>
      <c r="E34" s="62" t="s">
        <v>673</v>
      </c>
      <c r="F34" s="62" t="s">
        <v>725</v>
      </c>
    </row>
    <row r="35" spans="1:6" x14ac:dyDescent="0.35">
      <c r="A35" s="62" t="s">
        <v>710</v>
      </c>
      <c r="B35" s="62" t="s">
        <v>726</v>
      </c>
      <c r="C35" s="62" t="s">
        <v>79</v>
      </c>
      <c r="D35" s="62" t="s">
        <v>672</v>
      </c>
      <c r="E35" s="62" t="s">
        <v>673</v>
      </c>
      <c r="F35" s="62" t="s">
        <v>727</v>
      </c>
    </row>
    <row r="36" spans="1:6" x14ac:dyDescent="0.35">
      <c r="A36" s="62" t="s">
        <v>710</v>
      </c>
      <c r="B36" s="62" t="s">
        <v>728</v>
      </c>
      <c r="C36" s="62" t="s">
        <v>80</v>
      </c>
      <c r="D36" s="62" t="s">
        <v>672</v>
      </c>
      <c r="E36" s="62" t="s">
        <v>673</v>
      </c>
      <c r="F36" s="62" t="s">
        <v>725</v>
      </c>
    </row>
    <row r="37" spans="1:6" x14ac:dyDescent="0.35">
      <c r="A37" s="62" t="s">
        <v>710</v>
      </c>
      <c r="B37" s="62" t="s">
        <v>729</v>
      </c>
      <c r="C37" s="62" t="s">
        <v>81</v>
      </c>
      <c r="D37" s="62" t="s">
        <v>672</v>
      </c>
      <c r="E37" s="62" t="s">
        <v>677</v>
      </c>
      <c r="F37" s="62" t="s">
        <v>730</v>
      </c>
    </row>
    <row r="38" spans="1:6" x14ac:dyDescent="0.35">
      <c r="A38" s="62" t="s">
        <v>710</v>
      </c>
      <c r="B38" s="62" t="s">
        <v>731</v>
      </c>
      <c r="C38" s="62" t="s">
        <v>74</v>
      </c>
      <c r="D38" s="62" t="s">
        <v>679</v>
      </c>
      <c r="E38" s="62" t="s">
        <v>673</v>
      </c>
      <c r="F38" s="62" t="s">
        <v>732</v>
      </c>
    </row>
    <row r="39" spans="1:6" x14ac:dyDescent="0.35">
      <c r="A39" s="62" t="s">
        <v>710</v>
      </c>
      <c r="B39" s="62" t="s">
        <v>733</v>
      </c>
      <c r="C39" s="62" t="s">
        <v>83</v>
      </c>
      <c r="D39" s="62" t="s">
        <v>672</v>
      </c>
      <c r="E39" s="62" t="s">
        <v>673</v>
      </c>
      <c r="F39" s="62" t="s">
        <v>734</v>
      </c>
    </row>
    <row r="40" spans="1:6" x14ac:dyDescent="0.35">
      <c r="A40" s="62" t="s">
        <v>710</v>
      </c>
      <c r="B40" s="62" t="s">
        <v>735</v>
      </c>
      <c r="C40" s="62" t="s">
        <v>84</v>
      </c>
      <c r="D40" s="62" t="s">
        <v>672</v>
      </c>
      <c r="E40" s="62" t="s">
        <v>673</v>
      </c>
      <c r="F40" s="62" t="s">
        <v>736</v>
      </c>
    </row>
    <row r="41" spans="1:6" x14ac:dyDescent="0.35">
      <c r="A41" s="62" t="s">
        <v>710</v>
      </c>
      <c r="B41" s="62" t="s">
        <v>737</v>
      </c>
      <c r="C41" s="62" t="s">
        <v>74</v>
      </c>
      <c r="D41" s="62" t="s">
        <v>679</v>
      </c>
      <c r="E41" s="62" t="s">
        <v>673</v>
      </c>
      <c r="F41" s="62" t="s">
        <v>738</v>
      </c>
    </row>
    <row r="42" spans="1:6" x14ac:dyDescent="0.35">
      <c r="A42" s="62" t="s">
        <v>710</v>
      </c>
      <c r="B42" s="62" t="s">
        <v>739</v>
      </c>
      <c r="C42" s="62" t="s">
        <v>85</v>
      </c>
      <c r="D42" s="62" t="s">
        <v>672</v>
      </c>
      <c r="E42" s="62" t="s">
        <v>673</v>
      </c>
      <c r="F42" s="62" t="s">
        <v>740</v>
      </c>
    </row>
    <row r="46" spans="1:6" x14ac:dyDescent="0.35">
      <c r="A46" s="92" t="s">
        <v>87</v>
      </c>
    </row>
    <row r="47" spans="1:6" x14ac:dyDescent="0.35">
      <c r="A47" s="92" t="s">
        <v>88</v>
      </c>
    </row>
    <row r="48" spans="1:6" x14ac:dyDescent="0.35">
      <c r="A48" s="92" t="s">
        <v>89</v>
      </c>
    </row>
    <row r="49" spans="1:1" x14ac:dyDescent="0.35">
      <c r="A49" s="92" t="s">
        <v>90</v>
      </c>
    </row>
    <row r="50" spans="1:1" x14ac:dyDescent="0.35">
      <c r="A50" s="92" t="s">
        <v>483</v>
      </c>
    </row>
    <row r="51" spans="1:1" x14ac:dyDescent="0.35">
      <c r="A51" s="92" t="s">
        <v>484</v>
      </c>
    </row>
    <row r="52" spans="1:1" x14ac:dyDescent="0.35">
      <c r="A52" s="92" t="s">
        <v>485</v>
      </c>
    </row>
    <row r="53" spans="1:1" x14ac:dyDescent="0.35">
      <c r="A53" s="92" t="s">
        <v>91</v>
      </c>
    </row>
    <row r="54" spans="1:1" x14ac:dyDescent="0.35">
      <c r="A54" s="92" t="s">
        <v>559</v>
      </c>
    </row>
    <row r="55" spans="1:1" x14ac:dyDescent="0.35">
      <c r="A55" s="92" t="s">
        <v>560</v>
      </c>
    </row>
    <row r="56" spans="1:1" x14ac:dyDescent="0.35">
      <c r="A56" s="92" t="s">
        <v>561</v>
      </c>
    </row>
    <row r="57" spans="1:1" x14ac:dyDescent="0.35">
      <c r="A57" s="92" t="s">
        <v>562</v>
      </c>
    </row>
    <row r="58" spans="1:1" x14ac:dyDescent="0.35">
      <c r="A58" s="92" t="s">
        <v>603</v>
      </c>
    </row>
    <row r="59" spans="1:1" x14ac:dyDescent="0.35">
      <c r="A59" s="92" t="s">
        <v>604</v>
      </c>
    </row>
    <row r="60" spans="1:1" x14ac:dyDescent="0.35">
      <c r="A60" s="92" t="s">
        <v>605</v>
      </c>
    </row>
    <row r="61" spans="1:1" x14ac:dyDescent="0.35">
      <c r="A61" s="92" t="s">
        <v>606</v>
      </c>
    </row>
  </sheetData>
  <mergeCells count="1">
    <mergeCell ref="A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65"/>
  <sheetViews>
    <sheetView workbookViewId="0"/>
  </sheetViews>
  <sheetFormatPr defaultRowHeight="14.5" x14ac:dyDescent="0.35"/>
  <cols>
    <col min="1" max="1" width="38" customWidth="1"/>
    <col min="2" max="2" width="62" customWidth="1"/>
    <col min="3" max="4" width="17" customWidth="1"/>
  </cols>
  <sheetData>
    <row r="1" spans="1:4" ht="12.4" customHeight="1" x14ac:dyDescent="0.35">
      <c r="A1" s="63" t="s">
        <v>741</v>
      </c>
      <c r="B1" s="63"/>
      <c r="C1" s="63"/>
      <c r="D1" s="63"/>
    </row>
    <row r="2" spans="1:4" x14ac:dyDescent="0.35">
      <c r="A2" s="64" t="s">
        <v>742</v>
      </c>
      <c r="B2" s="65" t="s">
        <v>87</v>
      </c>
      <c r="C2" s="64" t="s">
        <v>743</v>
      </c>
      <c r="D2" s="64" t="s">
        <v>486</v>
      </c>
    </row>
    <row r="3" spans="1:4" x14ac:dyDescent="0.35">
      <c r="A3" s="60"/>
      <c r="B3" s="60"/>
      <c r="C3" s="60"/>
      <c r="D3" s="60"/>
    </row>
    <row r="4" spans="1:4" x14ac:dyDescent="0.35">
      <c r="A4" s="66" t="s">
        <v>670</v>
      </c>
      <c r="B4" s="66"/>
      <c r="C4" s="67"/>
      <c r="D4" s="67"/>
    </row>
    <row r="5" spans="1:4" x14ac:dyDescent="0.35">
      <c r="A5" s="74" t="s">
        <v>665</v>
      </c>
      <c r="B5" s="74" t="s">
        <v>744</v>
      </c>
      <c r="C5" s="68" t="s">
        <v>743</v>
      </c>
      <c r="D5" s="68" t="s">
        <v>486</v>
      </c>
    </row>
    <row r="6" spans="1:4" x14ac:dyDescent="0.35">
      <c r="A6" s="75" t="s">
        <v>745</v>
      </c>
      <c r="B6" s="75"/>
      <c r="C6" s="69"/>
      <c r="D6" s="69"/>
    </row>
    <row r="7" spans="1:4" x14ac:dyDescent="0.35">
      <c r="A7" s="76" t="s">
        <v>671</v>
      </c>
      <c r="B7" s="76" t="s">
        <v>12</v>
      </c>
      <c r="C7" s="70">
        <f ca="1">SUMIF(INDIRECT("'"&amp;$B$2&amp;"'!$A$1:$A$400"),$B7,INDIRECT("'"&amp;$B$2&amp;"'!$B$1:$B$400"))</f>
        <v>5607</v>
      </c>
      <c r="D7" s="70">
        <f ca="1">SUMIF(INDIRECT("'"&amp;$B$2&amp;"'!$A$1:$A$400"),$B7,INDIRECT("'"&amp;$B$2&amp;"'!$C$1:$C$400"))</f>
        <v>6497</v>
      </c>
    </row>
    <row r="8" spans="1:4" x14ac:dyDescent="0.35">
      <c r="A8" s="76" t="s">
        <v>13</v>
      </c>
      <c r="B8" s="76" t="s">
        <v>14</v>
      </c>
      <c r="C8" s="70">
        <f ca="1">SUMIF(INDIRECT("'"&amp;$B$2&amp;"'!$A$1:$A$400"),$B8,INDIRECT("'"&amp;$B$2&amp;"'!$B$1:$B$400"))</f>
        <v>507</v>
      </c>
      <c r="D8" s="70">
        <f ca="1">SUMIF(INDIRECT("'"&amp;$B$2&amp;"'!$A$1:$A$400"),$B8,INDIRECT("'"&amp;$B$2&amp;"'!$C$1:$C$400"))</f>
        <v>484</v>
      </c>
    </row>
    <row r="9" spans="1:4" x14ac:dyDescent="0.35">
      <c r="A9" s="76" t="s">
        <v>15</v>
      </c>
      <c r="B9" s="76" t="s">
        <v>16</v>
      </c>
      <c r="C9" s="70">
        <f ca="1">SUMIF(INDIRECT("'"&amp;$B$2&amp;"'!$A$1:$A$400"),$B9,INDIRECT("'"&amp;$B$2&amp;"'!$B$1:$B$400"))</f>
        <v>6695</v>
      </c>
      <c r="D9" s="70">
        <f ca="1">SUMIF(INDIRECT("'"&amp;$B$2&amp;"'!$A$1:$A$400"),$B9,INDIRECT("'"&amp;$B$2&amp;"'!$C$1:$C$400"))</f>
        <v>5813</v>
      </c>
    </row>
    <row r="10" spans="1:4" x14ac:dyDescent="0.35">
      <c r="A10" s="76" t="s">
        <v>17</v>
      </c>
      <c r="B10" s="76" t="s">
        <v>18</v>
      </c>
      <c r="C10" s="70">
        <f ca="1">SUMIF(INDIRECT("'"&amp;$B$2&amp;"'!$A$1:$A$400"),$B10,INDIRECT("'"&amp;$B$2&amp;"'!$B$1:$B$400"))</f>
        <v>1809</v>
      </c>
      <c r="D10" s="70">
        <f ca="1">SUMIF(INDIRECT("'"&amp;$B$2&amp;"'!$A$1:$A$400"),$B10,INDIRECT("'"&amp;$B$2&amp;"'!$C$1:$C$400"))</f>
        <v>1873</v>
      </c>
    </row>
    <row r="11" spans="1:4" x14ac:dyDescent="0.35">
      <c r="A11" s="76" t="s">
        <v>19</v>
      </c>
      <c r="B11" s="76" t="s">
        <v>20</v>
      </c>
      <c r="C11" s="78">
        <f ca="1">C12-C7-C8-C9-C10</f>
        <v>1029</v>
      </c>
      <c r="D11" s="78">
        <f ca="1">D12-D7-D8-D9-D10</f>
        <v>865</v>
      </c>
    </row>
    <row r="12" spans="1:4" x14ac:dyDescent="0.35">
      <c r="A12" s="77" t="s">
        <v>681</v>
      </c>
      <c r="B12" s="77" t="s">
        <v>22</v>
      </c>
      <c r="C12" s="72">
        <f ca="1">SUMIF(INDIRECT("'"&amp;$B$2&amp;"'!$A$1:$A$400"),$B12,INDIRECT("'"&amp;$B$2&amp;"'!$B$1:$B$400"))</f>
        <v>15647</v>
      </c>
      <c r="D12" s="72">
        <f ca="1">SUMIF(INDIRECT("'"&amp;$B$2&amp;"'!$A$1:$A$400"),$B12,INDIRECT("'"&amp;$B$2&amp;"'!$C$1:$C$400"))</f>
        <v>15532</v>
      </c>
    </row>
    <row r="13" spans="1:4" x14ac:dyDescent="0.35">
      <c r="A13" s="75" t="s">
        <v>746</v>
      </c>
      <c r="B13" s="75"/>
      <c r="C13" s="69"/>
      <c r="D13" s="69"/>
    </row>
    <row r="14" spans="1:4" x14ac:dyDescent="0.35">
      <c r="A14" s="76" t="s">
        <v>683</v>
      </c>
      <c r="B14" s="76" t="s">
        <v>25</v>
      </c>
      <c r="C14" s="70">
        <f ca="1">SUMIF(INDIRECT("'"&amp;$B$2&amp;"'!$A$1:$A$400"),$B14,INDIRECT("'"&amp;$B$2&amp;"'!$B$1:$B$400"))</f>
        <v>1145</v>
      </c>
      <c r="D14" s="70">
        <f ca="1">SUMIF(INDIRECT("'"&amp;$B$2&amp;"'!$A$1:$A$400"),$B14,INDIRECT("'"&amp;$B$2&amp;"'!$C$1:$C$400"))</f>
        <v>1242</v>
      </c>
    </row>
    <row r="15" spans="1:4" x14ac:dyDescent="0.35">
      <c r="A15" s="76" t="s">
        <v>686</v>
      </c>
      <c r="B15" s="76" t="s">
        <v>27</v>
      </c>
      <c r="C15" s="70">
        <f ca="1">SUMIF(INDIRECT("'"&amp;$B$2&amp;"'!$A$1:$A$400"),$B15,INDIRECT("'"&amp;$B$2&amp;"'!$B$1:$B$400"))</f>
        <v>95373</v>
      </c>
      <c r="D15" s="70">
        <f ca="1">SUMIF(INDIRECT("'"&amp;$B$2&amp;"'!$A$1:$A$400"),$B15,INDIRECT("'"&amp;$B$2&amp;"'!$C$1:$C$400"))</f>
        <v>94189</v>
      </c>
    </row>
    <row r="16" spans="1:4" x14ac:dyDescent="0.35">
      <c r="A16" s="76" t="s">
        <v>687</v>
      </c>
      <c r="B16" s="76" t="s">
        <v>29</v>
      </c>
      <c r="C16" s="70">
        <f ca="1">SUMIF(INDIRECT("'"&amp;$B$2&amp;"'!$A$1:$A$400"),$B16,INDIRECT("'"&amp;$B$2&amp;"'!$B$1:$B$400"))</f>
        <v>0</v>
      </c>
      <c r="D16" s="70">
        <f ca="1">SUMIF(INDIRECT("'"&amp;$B$2&amp;"'!$A$1:$A$400"),$B16,INDIRECT("'"&amp;$B$2&amp;"'!$C$1:$C$400"))</f>
        <v>0</v>
      </c>
    </row>
    <row r="17" spans="1:4" x14ac:dyDescent="0.35">
      <c r="A17" s="76" t="s">
        <v>688</v>
      </c>
      <c r="B17" s="76" t="s">
        <v>31</v>
      </c>
      <c r="C17" s="78">
        <f ca="1">C18-C14-C15-C16</f>
        <v>10615</v>
      </c>
      <c r="D17" s="78">
        <f ca="1">D18-D14-D15-D16</f>
        <v>10976</v>
      </c>
    </row>
    <row r="18" spans="1:4" x14ac:dyDescent="0.35">
      <c r="A18" s="77" t="s">
        <v>690</v>
      </c>
      <c r="B18" s="77" t="s">
        <v>33</v>
      </c>
      <c r="C18" s="72">
        <f ca="1">SUMIF(INDIRECT("'"&amp;$B$2&amp;"'!$A$1:$A$400"),$B18,INDIRECT("'"&amp;$B$2&amp;"'!$B$1:$B$400"))</f>
        <v>107133</v>
      </c>
      <c r="D18" s="72">
        <f ca="1">SUMIF(INDIRECT("'"&amp;$B$2&amp;"'!$A$1:$A$400"),$B18,INDIRECT("'"&amp;$B$2&amp;"'!$C$1:$C$400"))</f>
        <v>106407</v>
      </c>
    </row>
    <row r="19" spans="1:4" x14ac:dyDescent="0.35">
      <c r="A19" s="77" t="s">
        <v>691</v>
      </c>
      <c r="B19" s="77" t="s">
        <v>35</v>
      </c>
      <c r="C19" s="72">
        <f ca="1">SUMIF(INDIRECT("'"&amp;$B$2&amp;"'!$A$1:$A$400"),$B19,INDIRECT("'"&amp;$B$2&amp;"'!$B$1:$B$400"))</f>
        <v>122780</v>
      </c>
      <c r="D19" s="72">
        <f ca="1">SUMIF(INDIRECT("'"&amp;$B$2&amp;"'!$A$1:$A$400"),$B19,INDIRECT("'"&amp;$B$2&amp;"'!$C$1:$C$400"))</f>
        <v>121939</v>
      </c>
    </row>
    <row r="20" spans="1:4" x14ac:dyDescent="0.35">
      <c r="A20" s="75" t="s">
        <v>747</v>
      </c>
      <c r="B20" s="75"/>
      <c r="C20" s="69"/>
      <c r="D20" s="69"/>
    </row>
    <row r="21" spans="1:4" x14ac:dyDescent="0.35">
      <c r="A21" s="76" t="s">
        <v>692</v>
      </c>
      <c r="B21" s="76" t="s">
        <v>37</v>
      </c>
      <c r="C21" s="70">
        <f ca="1">SUMIF(INDIRECT("'"&amp;$B$2&amp;"'!$A$1:$A$400"),$B21,INDIRECT("'"&amp;$B$2&amp;"'!$B$1:$B$400"))</f>
        <v>6044</v>
      </c>
      <c r="D21" s="70">
        <f ca="1">SUMIF(INDIRECT("'"&amp;$B$2&amp;"'!$A$1:$A$400"),$B21,INDIRECT("'"&amp;$B$2&amp;"'!$C$1:$C$400"))</f>
        <v>6218</v>
      </c>
    </row>
    <row r="22" spans="1:4" x14ac:dyDescent="0.35">
      <c r="A22" s="76" t="s">
        <v>693</v>
      </c>
      <c r="B22" s="76" t="s">
        <v>39</v>
      </c>
      <c r="C22" s="70">
        <f ca="1">SUMIF(INDIRECT("'"&amp;$B$2&amp;"'!$A$1:$A$400"),$B22,INDIRECT("'"&amp;$B$2&amp;"'!$B$1:$B$400"))</f>
        <v>1035</v>
      </c>
      <c r="D22" s="70">
        <f ca="1">SUMIF(INDIRECT("'"&amp;$B$2&amp;"'!$A$1:$A$400"),$B22,INDIRECT("'"&amp;$B$2&amp;"'!$C$1:$C$400"))</f>
        <v>1020</v>
      </c>
    </row>
    <row r="23" spans="1:4" x14ac:dyDescent="0.35">
      <c r="A23" s="76" t="s">
        <v>695</v>
      </c>
      <c r="B23" s="76" t="s">
        <v>41</v>
      </c>
      <c r="C23" s="78">
        <f ca="1">C24-C21-C22</f>
        <v>5045</v>
      </c>
      <c r="D23" s="78">
        <f ca="1">D24-D21-D22</f>
        <v>4734</v>
      </c>
    </row>
    <row r="24" spans="1:4" x14ac:dyDescent="0.35">
      <c r="A24" s="77" t="s">
        <v>697</v>
      </c>
      <c r="B24" s="77" t="s">
        <v>43</v>
      </c>
      <c r="C24" s="72">
        <f ca="1">SUMIF(INDIRECT("'"&amp;$B$2&amp;"'!$A$1:$A$400"),$B24,INDIRECT("'"&amp;$B$2&amp;"'!$B$1:$B$400"))</f>
        <v>12124</v>
      </c>
      <c r="D24" s="72">
        <f ca="1">SUMIF(INDIRECT("'"&amp;$B$2&amp;"'!$A$1:$A$400"),$B24,INDIRECT("'"&amp;$B$2&amp;"'!$C$1:$C$400"))</f>
        <v>11972</v>
      </c>
    </row>
    <row r="25" spans="1:4" x14ac:dyDescent="0.35">
      <c r="A25" s="75" t="s">
        <v>748</v>
      </c>
      <c r="B25" s="75"/>
      <c r="C25" s="69"/>
      <c r="D25" s="69"/>
    </row>
    <row r="26" spans="1:4" x14ac:dyDescent="0.35">
      <c r="A26" s="76" t="s">
        <v>698</v>
      </c>
      <c r="B26" s="76" t="s">
        <v>45</v>
      </c>
      <c r="C26" s="70">
        <f ca="1">SUMIF(INDIRECT("'"&amp;$B$2&amp;"'!$A$1:$A$400"),$B26,INDIRECT("'"&amp;$B$2&amp;"'!$B$1:$B$400"))</f>
        <v>23289</v>
      </c>
      <c r="D26" s="70">
        <f ca="1">SUMIF(INDIRECT("'"&amp;$B$2&amp;"'!$A$1:$A$400"),$B26,INDIRECT("'"&amp;$B$2&amp;"'!$C$1:$C$400"))</f>
        <v>22424</v>
      </c>
    </row>
    <row r="27" spans="1:4" x14ac:dyDescent="0.35">
      <c r="A27" s="76" t="s">
        <v>699</v>
      </c>
      <c r="B27" s="76" t="s">
        <v>47</v>
      </c>
      <c r="C27" s="78">
        <f ca="1">C28-C26</f>
        <v>22571</v>
      </c>
      <c r="D27" s="78">
        <f ca="1">D28-D26</f>
        <v>23056</v>
      </c>
    </row>
    <row r="28" spans="1:4" x14ac:dyDescent="0.35">
      <c r="A28" s="77" t="s">
        <v>701</v>
      </c>
      <c r="B28" s="77" t="s">
        <v>49</v>
      </c>
      <c r="C28" s="72">
        <f ca="1">SUMIF(INDIRECT("'"&amp;$B$2&amp;"'!$A$1:$A$400"),$B28,INDIRECT("'"&amp;$B$2&amp;"'!$B$1:$B$400"))</f>
        <v>45860</v>
      </c>
      <c r="D28" s="72">
        <f ca="1">SUMIF(INDIRECT("'"&amp;$B$2&amp;"'!$A$1:$A$400"),$B28,INDIRECT("'"&amp;$B$2&amp;"'!$C$1:$C$400"))</f>
        <v>45480</v>
      </c>
    </row>
    <row r="29" spans="1:4" x14ac:dyDescent="0.35">
      <c r="A29" s="77" t="s">
        <v>702</v>
      </c>
      <c r="B29" s="77" t="s">
        <v>51</v>
      </c>
      <c r="C29" s="72">
        <f ca="1">SUMIF(INDIRECT("'"&amp;$B$2&amp;"'!$A$1:$A$400"),$B29,INDIRECT("'"&amp;$B$2&amp;"'!$B$1:$B$400"))</f>
        <v>57984</v>
      </c>
      <c r="D29" s="72">
        <f ca="1">SUMIF(INDIRECT("'"&amp;$B$2&amp;"'!$A$1:$A$400"),$B29,INDIRECT("'"&amp;$B$2&amp;"'!$C$1:$C$400"))</f>
        <v>57452</v>
      </c>
    </row>
    <row r="30" spans="1:4" x14ac:dyDescent="0.35">
      <c r="A30" s="75" t="s">
        <v>749</v>
      </c>
      <c r="B30" s="75"/>
      <c r="C30" s="69"/>
      <c r="D30" s="69"/>
    </row>
    <row r="31" spans="1:4" x14ac:dyDescent="0.35">
      <c r="A31" s="76" t="s">
        <v>703</v>
      </c>
      <c r="B31" s="76" t="s">
        <v>53</v>
      </c>
      <c r="C31" s="70">
        <f ca="1">SUMIF(INDIRECT("'"&amp;$B$2&amp;"'!$A$1:$A$400"),$B31,INDIRECT("'"&amp;$B$2&amp;"'!$B$1:$B$400"))</f>
        <v>64796</v>
      </c>
      <c r="D31" s="70">
        <f ca="1">SUMIF(INDIRECT("'"&amp;$B$2&amp;"'!$A$1:$A$400"),$B31,INDIRECT("'"&amp;$B$2&amp;"'!$C$1:$C$400"))</f>
        <v>64487</v>
      </c>
    </row>
    <row r="32" spans="1:4" x14ac:dyDescent="0.35">
      <c r="A32" s="76" t="s">
        <v>705</v>
      </c>
      <c r="B32" s="76" t="s">
        <v>55</v>
      </c>
      <c r="C32" s="78">
        <f ca="1">C33-C31</f>
        <v>0</v>
      </c>
      <c r="D32" s="78">
        <f ca="1">D33-D31</f>
        <v>0</v>
      </c>
    </row>
    <row r="33" spans="1:4" x14ac:dyDescent="0.35">
      <c r="A33" s="77" t="s">
        <v>707</v>
      </c>
      <c r="B33" s="77" t="s">
        <v>57</v>
      </c>
      <c r="C33" s="72">
        <f ca="1">SUMIF(INDIRECT("'"&amp;$B$2&amp;"'!$A$1:$A$400"),$B33,INDIRECT("'"&amp;$B$2&amp;"'!$B$1:$B$400"))</f>
        <v>64796</v>
      </c>
      <c r="D33" s="72">
        <f ca="1">SUMIF(INDIRECT("'"&amp;$B$2&amp;"'!$A$1:$A$400"),$B33,INDIRECT("'"&amp;$B$2&amp;"'!$C$1:$C$400"))</f>
        <v>64487</v>
      </c>
    </row>
    <row r="34" spans="1:4" x14ac:dyDescent="0.35">
      <c r="A34" s="77" t="s">
        <v>708</v>
      </c>
      <c r="B34" s="77" t="s">
        <v>60</v>
      </c>
      <c r="C34" s="72">
        <f ca="1">SUMIF(INDIRECT("'"&amp;$B$2&amp;"'!$A$1:$A$400"),$B34,INDIRECT("'"&amp;$B$2&amp;"'!$B$1:$B$400"))</f>
        <v>122780</v>
      </c>
      <c r="D34" s="72">
        <f ca="1">SUMIF(INDIRECT("'"&amp;$B$2&amp;"'!$A$1:$A$400"),$B34,INDIRECT("'"&amp;$B$2&amp;"'!$C$1:$C$400"))</f>
        <v>121939</v>
      </c>
    </row>
    <row r="35" spans="1:4" x14ac:dyDescent="0.35">
      <c r="A35" s="77" t="s">
        <v>750</v>
      </c>
      <c r="B35" s="77" t="s">
        <v>93</v>
      </c>
      <c r="C35" s="73">
        <f ca="1">C19-C34</f>
        <v>0</v>
      </c>
      <c r="D35" s="73">
        <f ca="1">D19-D34</f>
        <v>0</v>
      </c>
    </row>
    <row r="36" spans="1:4" x14ac:dyDescent="0.35">
      <c r="A36" s="76"/>
      <c r="B36" s="76"/>
      <c r="C36" s="71"/>
      <c r="D36" s="71"/>
    </row>
    <row r="37" spans="1:4" x14ac:dyDescent="0.35">
      <c r="A37" s="66" t="s">
        <v>710</v>
      </c>
      <c r="B37" s="66"/>
      <c r="C37" s="67"/>
      <c r="D37" s="67"/>
    </row>
    <row r="38" spans="1:4" x14ac:dyDescent="0.35">
      <c r="A38" s="74" t="s">
        <v>665</v>
      </c>
      <c r="B38" s="74" t="s">
        <v>744</v>
      </c>
      <c r="C38" s="68" t="s">
        <v>743</v>
      </c>
      <c r="D38" s="68" t="s">
        <v>486</v>
      </c>
    </row>
    <row r="39" spans="1:4" x14ac:dyDescent="0.35">
      <c r="A39" s="77" t="s">
        <v>711</v>
      </c>
      <c r="B39" s="77" t="s">
        <v>64</v>
      </c>
      <c r="C39" s="72">
        <f ca="1">SUMIF(INDIRECT("'"&amp;$B$2&amp;"'!$A$1:$A$400"),$B39,INDIRECT("'"&amp;$B$2&amp;"'!$B$1:$B$400"))</f>
        <v>54745</v>
      </c>
      <c r="D39" s="72">
        <f ca="1">SUMIF(INDIRECT("'"&amp;$B$2&amp;"'!$A$1:$A$400"),$B39,INDIRECT("'"&amp;$B$2&amp;"'!$C$1:$C$400"))</f>
        <v>58944</v>
      </c>
    </row>
    <row r="40" spans="1:4" x14ac:dyDescent="0.35">
      <c r="A40" s="76" t="s">
        <v>713</v>
      </c>
      <c r="B40" s="76" t="s">
        <v>74</v>
      </c>
      <c r="C40" s="78">
        <f ca="1">C39-C41</f>
        <v>38362</v>
      </c>
      <c r="D40" s="78">
        <f ca="1">D39-D41</f>
        <v>43942</v>
      </c>
    </row>
    <row r="41" spans="1:4" x14ac:dyDescent="0.35">
      <c r="A41" s="77" t="s">
        <v>715</v>
      </c>
      <c r="B41" s="77" t="s">
        <v>68</v>
      </c>
      <c r="C41" s="72">
        <f ca="1">SUMIF(INDIRECT("'"&amp;$B$2&amp;"'!$A$1:$A$400"),$B41,INDIRECT("'"&amp;$B$2&amp;"'!$B$1:$B$400"))</f>
        <v>16383</v>
      </c>
      <c r="D41" s="72">
        <f ca="1">SUMIF(INDIRECT("'"&amp;$B$2&amp;"'!$A$1:$A$400"),$B41,INDIRECT("'"&amp;$B$2&amp;"'!$C$1:$C$400"))</f>
        <v>15002</v>
      </c>
    </row>
    <row r="42" spans="1:4" ht="29" x14ac:dyDescent="0.35">
      <c r="A42" s="76" t="s">
        <v>717</v>
      </c>
      <c r="B42" s="76" t="s">
        <v>70</v>
      </c>
      <c r="C42" s="70">
        <f ca="1">SUMIF(INDIRECT("'"&amp;$B$2&amp;"'!$A$1:$A$400"),$B42,INDIRECT("'"&amp;$B$2&amp;"'!$B$1:$B$400"))</f>
        <v>3513</v>
      </c>
      <c r="D42" s="70">
        <f ca="1">SUMIF(INDIRECT("'"&amp;$B$2&amp;"'!$A$1:$A$400"),$B42,INDIRECT("'"&amp;$B$2&amp;"'!$C$1:$C$400"))</f>
        <v>3205</v>
      </c>
    </row>
    <row r="43" spans="1:4" x14ac:dyDescent="0.35">
      <c r="A43" s="76" t="s">
        <v>719</v>
      </c>
      <c r="B43" s="76" t="s">
        <v>72</v>
      </c>
      <c r="C43" s="70">
        <f ca="1">SUMIF(INDIRECT("'"&amp;$B$2&amp;"'!$A$1:$A$400"),$B43,INDIRECT("'"&amp;$B$2&amp;"'!$B$1:$B$400"))</f>
        <v>81</v>
      </c>
      <c r="D43" s="70">
        <f ca="1">SUMIF(INDIRECT("'"&amp;$B$2&amp;"'!$A$1:$A$400"),$B43,INDIRECT("'"&amp;$B$2&amp;"'!$C$1:$C$400"))</f>
        <v>78</v>
      </c>
    </row>
    <row r="44" spans="1:4" x14ac:dyDescent="0.35">
      <c r="A44" s="76" t="s">
        <v>721</v>
      </c>
      <c r="B44" s="76" t="s">
        <v>74</v>
      </c>
      <c r="C44" s="78">
        <f ca="1">C45-C40-C42-C43</f>
        <v>-42</v>
      </c>
      <c r="D44" s="78">
        <f ca="1">D45-D40-D42-D43</f>
        <v>-207</v>
      </c>
    </row>
    <row r="45" spans="1:4" x14ac:dyDescent="0.35">
      <c r="A45" s="77" t="s">
        <v>723</v>
      </c>
      <c r="B45" s="77" t="s">
        <v>76</v>
      </c>
      <c r="C45" s="72">
        <f ca="1">SUMIF(INDIRECT("'"&amp;$B$2&amp;"'!$A$1:$A$400"),$B45,INDIRECT("'"&amp;$B$2&amp;"'!$B$1:$B$400"))</f>
        <v>41914</v>
      </c>
      <c r="D45" s="72">
        <f ca="1">SUMIF(INDIRECT("'"&amp;$B$2&amp;"'!$A$1:$A$400"),$B45,INDIRECT("'"&amp;$B$2&amp;"'!$C$1:$C$400"))</f>
        <v>47018</v>
      </c>
    </row>
    <row r="46" spans="1:4" x14ac:dyDescent="0.35">
      <c r="A46" s="77" t="s">
        <v>724</v>
      </c>
      <c r="B46" s="77" t="s">
        <v>78</v>
      </c>
      <c r="C46" s="72">
        <f ca="1">SUMIF(INDIRECT("'"&amp;$B$2&amp;"'!$A$1:$A$400"),$B46,INDIRECT("'"&amp;$B$2&amp;"'!$B$1:$B$400"))</f>
        <v>12831</v>
      </c>
      <c r="D46" s="72">
        <f ca="1">SUMIF(INDIRECT("'"&amp;$B$2&amp;"'!$A$1:$A$400"),$B46,INDIRECT("'"&amp;$B$2&amp;"'!$C$1:$C$400"))</f>
        <v>11926</v>
      </c>
    </row>
    <row r="47" spans="1:4" x14ac:dyDescent="0.35">
      <c r="A47" s="76" t="s">
        <v>726</v>
      </c>
      <c r="B47" s="76" t="s">
        <v>79</v>
      </c>
      <c r="C47" s="70">
        <f ca="1">SUMIF(INDIRECT("'"&amp;$B$2&amp;"'!$A$1:$A$400"),$B47,INDIRECT("'"&amp;$B$2&amp;"'!$B$1:$B$400"))</f>
        <v>9599</v>
      </c>
      <c r="D47" s="70">
        <f ca="1">SUMIF(INDIRECT("'"&amp;$B$2&amp;"'!$A$1:$A$400"),$B47,INDIRECT("'"&amp;$B$2&amp;"'!$C$1:$C$400"))</f>
        <v>11500</v>
      </c>
    </row>
    <row r="48" spans="1:4" x14ac:dyDescent="0.35">
      <c r="A48" s="77" t="s">
        <v>728</v>
      </c>
      <c r="B48" s="77" t="s">
        <v>80</v>
      </c>
      <c r="C48" s="72">
        <f ca="1">SUMIF(INDIRECT("'"&amp;$B$2&amp;"'!$A$1:$A$400"),$B48,INDIRECT("'"&amp;$B$2&amp;"'!$B$1:$B$400"))</f>
        <v>22430</v>
      </c>
      <c r="D48" s="72">
        <f ca="1">SUMIF(INDIRECT("'"&amp;$B$2&amp;"'!$A$1:$A$400"),$B48,INDIRECT("'"&amp;$B$2&amp;"'!$C$1:$C$400"))</f>
        <v>23426</v>
      </c>
    </row>
    <row r="49" spans="1:4" x14ac:dyDescent="0.35">
      <c r="A49" s="76" t="s">
        <v>729</v>
      </c>
      <c r="B49" s="76" t="s">
        <v>81</v>
      </c>
      <c r="C49" s="70">
        <f ca="1">SUMIF(INDIRECT("'"&amp;$B$2&amp;"'!$A$1:$A$400"),$B49,INDIRECT("'"&amp;$B$2&amp;"'!$B$1:$B$400"))</f>
        <v>381</v>
      </c>
      <c r="D49" s="70">
        <f ca="1">SUMIF(INDIRECT("'"&amp;$B$2&amp;"'!$A$1:$A$400"),$B49,INDIRECT("'"&amp;$B$2&amp;"'!$C$1:$C$400"))</f>
        <v>544</v>
      </c>
    </row>
    <row r="50" spans="1:4" x14ac:dyDescent="0.35">
      <c r="A50" s="76" t="s">
        <v>731</v>
      </c>
      <c r="B50" s="76" t="s">
        <v>74</v>
      </c>
      <c r="C50" s="78">
        <f ca="1">C51-C46+C49</f>
        <v>1222</v>
      </c>
      <c r="D50" s="78">
        <f ca="1">D51-D46+D49</f>
        <v>1274</v>
      </c>
    </row>
    <row r="51" spans="1:4" x14ac:dyDescent="0.35">
      <c r="A51" s="77" t="s">
        <v>733</v>
      </c>
      <c r="B51" s="77" t="s">
        <v>83</v>
      </c>
      <c r="C51" s="72">
        <f ca="1">SUMIF(INDIRECT("'"&amp;$B$2&amp;"'!$A$1:$A$400"),$B51,INDIRECT("'"&amp;$B$2&amp;"'!$B$1:$B$400"))</f>
        <v>13672</v>
      </c>
      <c r="D51" s="72">
        <f ca="1">SUMIF(INDIRECT("'"&amp;$B$2&amp;"'!$A$1:$A$400"),$B51,INDIRECT("'"&amp;$B$2&amp;"'!$C$1:$C$400"))</f>
        <v>12656</v>
      </c>
    </row>
    <row r="52" spans="1:4" x14ac:dyDescent="0.35">
      <c r="A52" s="76" t="s">
        <v>735</v>
      </c>
      <c r="B52" s="76" t="s">
        <v>84</v>
      </c>
      <c r="C52" s="70">
        <f ca="1">SUMIF(INDIRECT("'"&amp;$B$2&amp;"'!$A$1:$A$400"),$B52,INDIRECT("'"&amp;$B$2&amp;"'!$B$1:$B$400"))</f>
        <v>4427</v>
      </c>
      <c r="D52" s="70">
        <f ca="1">SUMIF(INDIRECT("'"&amp;$B$2&amp;"'!$A$1:$A$400"),$B52,INDIRECT("'"&amp;$B$2&amp;"'!$C$1:$C$400"))</f>
        <v>5068</v>
      </c>
    </row>
    <row r="53" spans="1:4" x14ac:dyDescent="0.35">
      <c r="A53" s="76" t="s">
        <v>737</v>
      </c>
      <c r="B53" s="76" t="s">
        <v>74</v>
      </c>
      <c r="C53" s="78">
        <f ca="1">C54-(C51-C52)</f>
        <v>0</v>
      </c>
      <c r="D53" s="78">
        <f ca="1">D54-(D51-D52)</f>
        <v>400</v>
      </c>
    </row>
    <row r="54" spans="1:4" x14ac:dyDescent="0.35">
      <c r="A54" s="77" t="s">
        <v>739</v>
      </c>
      <c r="B54" s="77" t="s">
        <v>85</v>
      </c>
      <c r="C54" s="72">
        <f ca="1">SUMIF(INDIRECT("'"&amp;$B$2&amp;"'!$A$1:$A$400"),$B54,INDIRECT("'"&amp;$B$2&amp;"'!$B$1:$B$400"))</f>
        <v>9245</v>
      </c>
      <c r="D54" s="72">
        <f ca="1">SUMIF(INDIRECT("'"&amp;$B$2&amp;"'!$A$1:$A$400"),$B54,INDIRECT("'"&amp;$B$2&amp;"'!$C$1:$C$400"))</f>
        <v>7988</v>
      </c>
    </row>
    <row r="55" spans="1:4" x14ac:dyDescent="0.35">
      <c r="A55" s="76"/>
      <c r="B55" s="76"/>
      <c r="C55" s="71"/>
      <c r="D55" s="71"/>
    </row>
    <row r="56" spans="1:4" x14ac:dyDescent="0.35">
      <c r="A56" s="66" t="s">
        <v>751</v>
      </c>
      <c r="B56" s="66"/>
      <c r="C56" s="67"/>
      <c r="D56" s="67"/>
    </row>
    <row r="57" spans="1:4" x14ac:dyDescent="0.35">
      <c r="A57" s="74" t="s">
        <v>665</v>
      </c>
      <c r="B57" s="74" t="s">
        <v>744</v>
      </c>
      <c r="C57" s="68" t="s">
        <v>743</v>
      </c>
      <c r="D57" s="68" t="s">
        <v>486</v>
      </c>
    </row>
    <row r="58" spans="1:4" x14ac:dyDescent="0.35">
      <c r="A58" s="76" t="s">
        <v>752</v>
      </c>
      <c r="B58" s="76" t="s">
        <v>753</v>
      </c>
      <c r="C58" s="79">
        <f ca="1">IFERROR(C41/C39,0)</f>
        <v>0.29926020641154444</v>
      </c>
      <c r="D58" s="79">
        <f ca="1">IFERROR(D41/D39,0)</f>
        <v>0.25451275787187838</v>
      </c>
    </row>
    <row r="59" spans="1:4" x14ac:dyDescent="0.35">
      <c r="A59" s="76" t="s">
        <v>754</v>
      </c>
      <c r="B59" s="76" t="s">
        <v>724</v>
      </c>
      <c r="C59" s="79">
        <f ca="1">IFERROR(C46/C39,0)</f>
        <v>0.23437756872773768</v>
      </c>
      <c r="D59" s="79">
        <f ca="1">IFERROR(D46/D39,0)</f>
        <v>0.20232763300760043</v>
      </c>
    </row>
    <row r="60" spans="1:4" x14ac:dyDescent="0.35">
      <c r="A60" s="76" t="s">
        <v>755</v>
      </c>
      <c r="B60" s="76" t="s">
        <v>728</v>
      </c>
      <c r="C60" s="79">
        <f ca="1">IFERROR(C48/C39,0)</f>
        <v>0.40971778244588547</v>
      </c>
      <c r="D60" s="79">
        <f ca="1">IFERROR(D48/D39,0)</f>
        <v>0.39742806731813246</v>
      </c>
    </row>
    <row r="61" spans="1:4" x14ac:dyDescent="0.35">
      <c r="A61" s="76" t="s">
        <v>756</v>
      </c>
      <c r="B61" s="76" t="s">
        <v>757</v>
      </c>
      <c r="C61" s="79">
        <f ca="1">IFERROR(C54/C39,0)</f>
        <v>0.1688738697597954</v>
      </c>
      <c r="D61" s="79">
        <f ca="1">IFERROR(D54/D39,0)</f>
        <v>0.1355184581976113</v>
      </c>
    </row>
    <row r="63" spans="1:4" ht="9.65" customHeight="1" x14ac:dyDescent="0.35">
      <c r="A63" s="80" t="s">
        <v>758</v>
      </c>
      <c r="B63" s="80"/>
      <c r="C63" s="80"/>
      <c r="D63" s="80"/>
    </row>
    <row r="64" spans="1:4" x14ac:dyDescent="0.35">
      <c r="A64" s="80"/>
      <c r="B64" s="80"/>
      <c r="C64" s="80"/>
      <c r="D64" s="80"/>
    </row>
    <row r="65" spans="1:4" x14ac:dyDescent="0.35">
      <c r="A65" s="80"/>
      <c r="B65" s="80"/>
      <c r="C65" s="80"/>
      <c r="D65" s="80"/>
    </row>
  </sheetData>
  <conditionalFormatting sqref="C35:D35">
    <cfRule type="expression" dxfId="0" priority="1">
      <formula>ABS(C35)&gt;0.1</formula>
    </cfRule>
  </conditionalFormatting>
  <dataValidations count="1">
    <dataValidation type="list" sqref="B2" xr:uid="{00000000-0002-0000-1700-000000000000}">
      <formula1>"Conoco,Chevron,Exxon,IQVIA,RVMD,INSM,NVIDIA,Apple,Broadcom,Eli Lilly,J&amp;J,Merck"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Resumen</vt:lpstr>
      <vt:lpstr>O&amp;G&gt;&gt;</vt:lpstr>
      <vt:lpstr>Conoco</vt:lpstr>
      <vt:lpstr>Chevron</vt:lpstr>
      <vt:lpstr>Exxon</vt:lpstr>
      <vt:lpstr>Valero</vt:lpstr>
      <vt:lpstr>Biotech&gt;&gt;</vt:lpstr>
      <vt:lpstr>IQVIA</vt:lpstr>
      <vt:lpstr>Argenx</vt:lpstr>
      <vt:lpstr>Beone</vt:lpstr>
      <vt:lpstr>ICON</vt:lpstr>
      <vt:lpstr>Technology&gt;&gt;</vt:lpstr>
      <vt:lpstr>NVIDIA</vt:lpstr>
      <vt:lpstr>Intel</vt:lpstr>
      <vt:lpstr>Broadcom</vt:lpstr>
      <vt:lpstr>Micron</vt:lpstr>
      <vt:lpstr>Pharma&gt;&gt;</vt:lpstr>
      <vt:lpstr>Eli Lilly</vt:lpstr>
      <vt:lpstr>J&amp;J</vt:lpstr>
      <vt:lpstr>Merck</vt:lpstr>
      <vt:lpstr>Roche</vt:lpstr>
      <vt:lpstr>Adicional &gt;&gt;</vt:lpstr>
      <vt:lpstr>Catálogo estándar</vt:lpstr>
      <vt:lpstr>Plantilla 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Chávez Silva</dc:creator>
  <cp:lastModifiedBy>Miguel Chávez Silva</cp:lastModifiedBy>
  <dcterms:created xsi:type="dcterms:W3CDTF">2026-10-01T19:12:20Z</dcterms:created>
  <dcterms:modified xsi:type="dcterms:W3CDTF">2026-10-01T20:39:12Z</dcterms:modified>
</cp:coreProperties>
</file>
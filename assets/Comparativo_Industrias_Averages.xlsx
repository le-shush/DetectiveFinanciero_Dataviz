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Averages" sheetId="1" state="visible" r:id="rId1"/>
    <sheet xmlns:r="http://schemas.openxmlformats.org/officeDocument/2006/relationships" name="Detalle por empresa" sheetId="2" state="visible" r:id="rId2"/>
    <sheet xmlns:r="http://schemas.openxmlformats.org/officeDocument/2006/relationships" name="Gráf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Activos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Averages'!$C$3:$C$14</f>
            </numRef>
          </cat>
          <val>
            <numRef>
              <f>'Comparativo Averages'!$D$3:$D$14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Averages'!$C$3:$C$14</f>
            </numRef>
          </cat>
          <val>
            <numRef>
              <f>'Comparativo Averages'!$E$3:$E$14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Averages'!$C$3:$C$14</f>
            </numRef>
          </cat>
          <val>
            <numRef>
              <f>'Comparativo Averages'!$F$3:$F$14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Averages'!$C$3:$C$14</f>
            </numRef>
          </cat>
          <val>
            <numRef>
              <f>'Comparativo Averages'!$G$3:$G$14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Pasivos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Averages'!$C$16:$C$23</f>
            </numRef>
          </cat>
          <val>
            <numRef>
              <f>'Comparativo Averages'!$D$16:$D$23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Averages'!$C$16:$C$23</f>
            </numRef>
          </cat>
          <val>
            <numRef>
              <f>'Comparativo Averages'!$E$16:$E$23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Averages'!$C$16:$C$23</f>
            </numRef>
          </cat>
          <val>
            <numRef>
              <f>'Comparativo Averages'!$F$16:$F$23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Averages'!$C$16:$C$23</f>
            </numRef>
          </cat>
          <val>
            <numRef>
              <f>'Comparativo Averages'!$G$16:$G$23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Averages'!$C$25:$C$28</f>
            </numRef>
          </cat>
          <val>
            <numRef>
              <f>'Comparativo Averages'!$D$25:$D$28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Averages'!$C$25:$C$28</f>
            </numRef>
          </cat>
          <val>
            <numRef>
              <f>'Comparativo Averages'!$E$25:$E$28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Averages'!$C$25:$C$28</f>
            </numRef>
          </cat>
          <val>
            <numRef>
              <f>'Comparativo Averages'!$F$25:$F$28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Averages'!$C$25:$C$28</f>
            </numRef>
          </cat>
          <val>
            <numRef>
              <f>'Comparativo Averages'!$G$25:$G$28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Averages'!$C$30:$C$32</f>
            </numRef>
          </cat>
          <val>
            <numRef>
              <f>'Comparativo Averages'!$D$30:$D$32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Averages'!$C$30:$C$32</f>
            </numRef>
          </cat>
          <val>
            <numRef>
              <f>'Comparativo Averages'!$E$30:$E$32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Averages'!$C$30:$C$32</f>
            </numRef>
          </cat>
          <val>
            <numRef>
              <f>'Comparativo Averages'!$F$30:$F$32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Averages'!$C$30:$C$32</f>
            </numRef>
          </cat>
          <val>
            <numRef>
              <f>'Comparativo Averages'!$G$30:$G$32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Averages'!$C$34:$C$40</f>
            </numRef>
          </cat>
          <val>
            <numRef>
              <f>'Comparativo Averages'!$D$34:$D$40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Averages'!$C$34:$C$40</f>
            </numRef>
          </cat>
          <val>
            <numRef>
              <f>'Comparativo Averages'!$E$34:$E$40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Averages'!$C$34:$C$40</f>
            </numRef>
          </cat>
          <val>
            <numRef>
              <f>'Comparativo Averages'!$F$34:$F$40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Averages'!$C$34:$C$40</f>
            </numRef>
          </cat>
          <val>
            <numRef>
              <f>'Comparativo Averages'!$G$34:$G$40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Utilidad e Impuestos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Averages'!$C$42:$C$47</f>
            </numRef>
          </cat>
          <val>
            <numRef>
              <f>'Comparativo Averages'!$D$42:$D$47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Averages'!$C$42:$C$47</f>
            </numRef>
          </cat>
          <val>
            <numRef>
              <f>'Comparativo Averages'!$E$42:$E$47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Averages'!$C$42:$C$47</f>
            </numRef>
          </cat>
          <val>
            <numRef>
              <f>'Comparativo Averages'!$F$42:$F$47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Averages'!$C$42:$C$47</f>
            </numRef>
          </cat>
          <val>
            <numRef>
              <f>'Comparativo Averages'!$G$42:$G$47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Indicadores: Liquidez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Averages'!$C$49:$C$51</f>
            </numRef>
          </cat>
          <val>
            <numRef>
              <f>'Comparativo Averages'!$D$49:$D$51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Averages'!$C$49:$C$51</f>
            </numRef>
          </cat>
          <val>
            <numRef>
              <f>'Comparativo Averages'!$E$49:$E$51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Averages'!$C$49:$C$51</f>
            </numRef>
          </cat>
          <val>
            <numRef>
              <f>'Comparativo Averages'!$F$49:$F$51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Averages'!$C$49:$C$51</f>
            </numRef>
          </cat>
          <val>
            <numRef>
              <f>'Comparativo Averages'!$G$49:$G$51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Indicadores: Eficiencia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Averages'!$C$53:$C$60</f>
            </numRef>
          </cat>
          <val>
            <numRef>
              <f>'Comparativo Averages'!$D$53:$D$60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Averages'!$C$53:$C$60</f>
            </numRef>
          </cat>
          <val>
            <numRef>
              <f>'Comparativo Averages'!$E$53:$E$60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Averages'!$C$53:$C$60</f>
            </numRef>
          </cat>
          <val>
            <numRef>
              <f>'Comparativo Averages'!$F$53:$F$60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Averages'!$C$53:$C$60</f>
            </numRef>
          </cat>
          <val>
            <numRef>
              <f>'Comparativo Averages'!$G$53:$G$60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Indicadores: Apalancamiento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Averages'!$C$62:$C$63</f>
            </numRef>
          </cat>
          <val>
            <numRef>
              <f>'Comparativo Averages'!$D$62:$D$63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Averages'!$C$62:$C$63</f>
            </numRef>
          </cat>
          <val>
            <numRef>
              <f>'Comparativo Averages'!$E$62:$E$63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Averages'!$C$62:$C$63</f>
            </numRef>
          </cat>
          <val>
            <numRef>
              <f>'Comparativo Averages'!$F$62:$F$63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Averages'!$C$62:$C$63</f>
            </numRef>
          </cat>
          <val>
            <numRef>
              <f>'Comparativo Averages'!$G$62:$G$63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Indicadores: Rentabilidad — promedio por industria</a:t>
            </a:r>
          </a:p>
        </rich>
      </tx>
    </title>
    <plotArea>
      <barChart>
        <barDir val="col"/>
        <grouping val="clustered"/>
        <ser>
          <idx val="0"/>
          <order val="0"/>
          <tx>
            <v>O&amp;G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'Comparativo Averages'!$C$65:$C$71</f>
            </numRef>
          </cat>
          <val>
            <numRef>
              <f>'Comparativo Averages'!$D$65:$D$71</f>
            </numRef>
          </val>
        </ser>
        <ser>
          <idx val="1"/>
          <order val="1"/>
          <tx>
            <v>Biotech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'Comparativo Averages'!$C$65:$C$71</f>
            </numRef>
          </cat>
          <val>
            <numRef>
              <f>'Comparativo Averages'!$E$65:$E$71</f>
            </numRef>
          </val>
        </ser>
        <ser>
          <idx val="2"/>
          <order val="2"/>
          <tx>
            <v>Tecnología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'Comparativo Averages'!$C$65:$C$71</f>
            </numRef>
          </cat>
          <val>
            <numRef>
              <f>'Comparativo Averages'!$F$65:$F$71</f>
            </numRef>
          </val>
        </ser>
        <ser>
          <idx val="3"/>
          <order val="3"/>
          <tx>
            <v>Pharma</v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'Comparativo Averages'!$C$65:$C$71</f>
            </numRef>
          </cat>
          <val>
            <numRef>
              <f>'Comparativo Averages'!$G$65:$G$71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93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60</row>
      <rowOff>0</rowOff>
    </from>
    <ext cx="93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80</row>
      <rowOff>0</rowOff>
    </from>
    <ext cx="93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100</row>
      <rowOff>0</rowOff>
    </from>
    <ext cx="93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120</row>
      <rowOff>0</rowOff>
    </from>
    <ext cx="93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140</row>
      <rowOff>0</rowOff>
    </from>
    <ext cx="93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160</row>
      <rowOff>0</rowOff>
    </from>
    <ext cx="93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180</row>
      <rowOff>0</rowOff>
    </from>
    <ext cx="936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8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60" customWidth="1" min="9" max="9"/>
  </cols>
  <sheetData>
    <row r="1">
      <c r="A1" s="1" t="inlineStr">
        <is>
          <t>Categoría</t>
        </is>
      </c>
      <c r="B1" s="1" t="inlineStr">
        <is>
          <t>Item (original)</t>
        </is>
      </c>
      <c r="C1" s="1" t="inlineStr">
        <is>
          <t>Item (corto)</t>
        </is>
      </c>
      <c r="D1" s="2" t="inlineStr">
        <is>
          <t>O&amp;G</t>
        </is>
      </c>
      <c r="E1" s="3" t="inlineStr">
        <is>
          <t>Biotech</t>
        </is>
      </c>
      <c r="F1" s="4" t="inlineStr">
        <is>
          <t>Tecnología</t>
        </is>
      </c>
      <c r="G1" s="5" t="inlineStr">
        <is>
          <t>Pharma</t>
        </is>
      </c>
      <c r="H1" s="1" t="inlineStr">
        <is>
          <t>Unidad</t>
        </is>
      </c>
      <c r="I1" s="1" t="inlineStr">
        <is>
          <t>Nota</t>
        </is>
      </c>
    </row>
    <row r="2">
      <c r="A2" s="6" t="inlineStr">
        <is>
          <t>Activos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inlineStr">
        <is>
          <t>Activos</t>
        </is>
      </c>
      <c r="B3" s="7" t="inlineStr">
        <is>
          <t>Cash &amp; Cash Equivalents</t>
        </is>
      </c>
      <c r="C3" s="7" t="inlineStr">
        <is>
          <t>Efectivo</t>
        </is>
      </c>
      <c r="D3" s="8" t="n">
        <v>0.04433416247200361</v>
      </c>
      <c r="E3" s="8" t="n">
        <v>0.2658392201785723</v>
      </c>
      <c r="F3" s="8" t="n">
        <v>0.0888601340527625</v>
      </c>
      <c r="G3" s="8" t="n">
        <v>0.0682776864315827</v>
      </c>
      <c r="H3" s="7" t="inlineStr">
        <is>
          <t>% del total activos</t>
        </is>
      </c>
      <c r="I3" s="7" t="inlineStr"/>
    </row>
    <row r="4">
      <c r="A4" s="7" t="inlineStr">
        <is>
          <t>Activos</t>
        </is>
      </c>
      <c r="B4" s="7" t="inlineStr">
        <is>
          <t>Short-Term Investments - Total</t>
        </is>
      </c>
      <c r="C4" s="7" t="inlineStr">
        <is>
          <t>Inversiones CP</t>
        </is>
      </c>
      <c r="D4" s="8" t="n">
        <v>0.0009953857338482032</v>
      </c>
      <c r="E4" s="8" t="n">
        <v>0.02866145880273274</v>
      </c>
      <c r="F4" s="8" t="n">
        <v>0.1069376451402213</v>
      </c>
      <c r="G4" s="8" t="n">
        <v>0.03836178759989138</v>
      </c>
      <c r="H4" s="7" t="inlineStr">
        <is>
          <t>% del total activos</t>
        </is>
      </c>
      <c r="I4" s="7" t="inlineStr"/>
    </row>
    <row r="5">
      <c r="A5" s="7" t="inlineStr">
        <is>
          <t>Activos</t>
        </is>
      </c>
      <c r="B5" s="7" t="inlineStr">
        <is>
          <t>Trade Accounts &amp; Trade Notes Receivable - Net</t>
        </is>
      </c>
      <c r="C5" s="7" t="inlineStr">
        <is>
          <t>Cuentas por cobrar</t>
        </is>
      </c>
      <c r="D5" s="8" t="n">
        <v>0.05858859616295623</v>
      </c>
      <c r="E5" s="8" t="n">
        <v>0.120349765089522</v>
      </c>
      <c r="F5" s="8" t="n">
        <v>0.08827602004569303</v>
      </c>
      <c r="G5" s="8" t="n">
        <v>0.1108345943947858</v>
      </c>
      <c r="H5" s="7" t="inlineStr">
        <is>
          <t>% del total activos</t>
        </is>
      </c>
      <c r="I5" s="7" t="inlineStr"/>
    </row>
    <row r="6">
      <c r="A6" s="7" t="inlineStr">
        <is>
          <t>Activos</t>
        </is>
      </c>
      <c r="B6" s="7" t="inlineStr">
        <is>
          <t>Inventories - Total</t>
        </is>
      </c>
      <c r="C6" s="7" t="inlineStr">
        <is>
          <t>Inventarios</t>
        </is>
      </c>
      <c r="D6" s="8" t="n">
        <v>0.05870482992751495</v>
      </c>
      <c r="E6" s="8" t="n">
        <v>0.0322037930930958</v>
      </c>
      <c r="F6" s="8" t="n">
        <v>0.06486190250969805</v>
      </c>
      <c r="G6" s="8" t="n">
        <v>0.07908634677485081</v>
      </c>
      <c r="H6" s="7" t="inlineStr">
        <is>
          <t>% del total activos</t>
        </is>
      </c>
      <c r="I6" s="7" t="inlineStr"/>
    </row>
    <row r="7">
      <c r="A7" s="7" t="inlineStr">
        <is>
          <t>Activos</t>
        </is>
      </c>
      <c r="B7" s="7" t="inlineStr">
        <is>
          <t>Other Current Assets</t>
        </is>
      </c>
      <c r="C7" s="7" t="inlineStr">
        <is>
          <t>Otros act. circulantes</t>
        </is>
      </c>
      <c r="D7" s="8" t="n">
        <v>0.04545900606834456</v>
      </c>
      <c r="E7" s="8" t="n">
        <v>0.04788361322610699</v>
      </c>
      <c r="F7" s="8" t="n">
        <v>0.03907997486109791</v>
      </c>
      <c r="G7" s="8" t="n">
        <v>0.07252479464740656</v>
      </c>
      <c r="H7" s="7" t="inlineStr">
        <is>
          <t>% del total activos</t>
        </is>
      </c>
      <c r="I7" s="7" t="inlineStr"/>
    </row>
    <row r="8">
      <c r="A8" s="9" t="inlineStr">
        <is>
          <t>Activos</t>
        </is>
      </c>
      <c r="B8" s="9" t="inlineStr">
        <is>
          <t>Total Current Assets</t>
        </is>
      </c>
      <c r="C8" s="9" t="inlineStr">
        <is>
          <t>Total act. circulante</t>
        </is>
      </c>
      <c r="D8" s="10" t="n">
        <v>0.2080819803646676</v>
      </c>
      <c r="E8" s="10" t="n">
        <v>0.4949378503900297</v>
      </c>
      <c r="F8" s="10" t="n">
        <v>0.3880156766094728</v>
      </c>
      <c r="G8" s="10" t="n">
        <v>0.3690852098485172</v>
      </c>
      <c r="H8" s="9" t="inlineStr">
        <is>
          <t>% del total activos</t>
        </is>
      </c>
      <c r="I8" s="9" t="inlineStr"/>
    </row>
    <row r="9">
      <c r="A9" s="7" t="inlineStr">
        <is>
          <t>Activos</t>
        </is>
      </c>
      <c r="B9" s="7" t="inlineStr">
        <is>
          <t>Investments - Long-Term</t>
        </is>
      </c>
      <c r="C9" s="7" t="inlineStr">
        <is>
          <t>Inversiones LP</t>
        </is>
      </c>
      <c r="D9" s="8" t="n">
        <v>0.003337661114815153</v>
      </c>
      <c r="E9" s="8" t="n">
        <v>0.004142382007948735</v>
      </c>
      <c r="F9" s="8" t="n">
        <v>0.0225707391355753</v>
      </c>
      <c r="G9" s="8" t="n">
        <v>0.008821813667618417</v>
      </c>
      <c r="H9" s="7" t="inlineStr">
        <is>
          <t>% del total activos</t>
        </is>
      </c>
      <c r="I9" s="7" t="inlineStr"/>
    </row>
    <row r="10">
      <c r="A10" s="7" t="inlineStr">
        <is>
          <t>Activos</t>
        </is>
      </c>
      <c r="B10" s="7" t="inlineStr">
        <is>
          <t>Property, Plant &amp; Equipment - Net - Total</t>
        </is>
      </c>
      <c r="C10" s="7" t="inlineStr">
        <is>
          <t>PP&amp;E neto</t>
        </is>
      </c>
      <c r="D10" s="8" t="n">
        <v>0.6617193265661747</v>
      </c>
      <c r="E10" s="8" t="n">
        <v>0.07096751807864184</v>
      </c>
      <c r="F10" s="8" t="n">
        <v>0.2917523881441353</v>
      </c>
      <c r="G10" s="8" t="n">
        <v>0.1942829333374337</v>
      </c>
      <c r="H10" s="7" t="inlineStr">
        <is>
          <t>% del total activos</t>
        </is>
      </c>
      <c r="I10" s="7" t="inlineStr"/>
    </row>
    <row r="11">
      <c r="A11" s="7" t="inlineStr">
        <is>
          <t>Activos</t>
        </is>
      </c>
      <c r="B11" s="7" t="inlineStr">
        <is>
          <t>Intangible Assets - Total - Net</t>
        </is>
      </c>
      <c r="C11" s="7" t="inlineStr">
        <is>
          <t>Intangibles</t>
        </is>
      </c>
      <c r="D11" s="8" t="n">
        <v>0.005175764516051794</v>
      </c>
      <c r="E11" s="8" t="n">
        <v>0.3739669808967033</v>
      </c>
      <c r="F11" s="8" t="n">
        <v>0.2398860047792677</v>
      </c>
      <c r="G11" s="8" t="n">
        <v>0.3067805019452783</v>
      </c>
      <c r="H11" s="7" t="inlineStr">
        <is>
          <t>% del total activos</t>
        </is>
      </c>
      <c r="I11" s="7" t="inlineStr"/>
    </row>
    <row r="12">
      <c r="A12" s="7" t="inlineStr">
        <is>
          <t>Activos</t>
        </is>
      </c>
      <c r="B12" s="7" t="inlineStr">
        <is>
          <t>Other Non-Current Assets</t>
        </is>
      </c>
      <c r="C12" s="7" t="inlineStr">
        <is>
          <t>Otros act. no circulantes</t>
        </is>
      </c>
      <c r="D12" s="8" t="n">
        <v>0.1216852674382908</v>
      </c>
      <c r="E12" s="8" t="n">
        <v>0.05598526862667631</v>
      </c>
      <c r="F12" s="8" t="n">
        <v>0.0577751913315489</v>
      </c>
      <c r="G12" s="8" t="n">
        <v>0.1210295412011524</v>
      </c>
      <c r="H12" s="7" t="inlineStr">
        <is>
          <t>% del total activos</t>
        </is>
      </c>
      <c r="I12" s="7" t="inlineStr"/>
    </row>
    <row r="13">
      <c r="A13" s="9" t="inlineStr">
        <is>
          <t>Activos</t>
        </is>
      </c>
      <c r="B13" s="9" t="inlineStr">
        <is>
          <t>Total Non-Current Assets</t>
        </is>
      </c>
      <c r="C13" s="9" t="inlineStr">
        <is>
          <t>Total act. no circulante</t>
        </is>
      </c>
      <c r="D13" s="10" t="n">
        <v>0.7919180196353324</v>
      </c>
      <c r="E13" s="10" t="n">
        <v>0.5050621496099703</v>
      </c>
      <c r="F13" s="10" t="n">
        <v>0.6119843233905271</v>
      </c>
      <c r="G13" s="10" t="n">
        <v>0.6309147901514828</v>
      </c>
      <c r="H13" s="9" t="inlineStr">
        <is>
          <t>% del total activos</t>
        </is>
      </c>
      <c r="I13" s="9" t="inlineStr"/>
    </row>
    <row r="14">
      <c r="A14" s="9" t="inlineStr">
        <is>
          <t>Activos</t>
        </is>
      </c>
      <c r="B14" s="9" t="inlineStr">
        <is>
          <t>Total Assets</t>
        </is>
      </c>
      <c r="C14" s="9" t="inlineStr">
        <is>
          <t>Total activos</t>
        </is>
      </c>
      <c r="D14" s="10" t="n">
        <v>1</v>
      </c>
      <c r="E14" s="10" t="n">
        <v>1</v>
      </c>
      <c r="F14" s="10" t="n">
        <v>1</v>
      </c>
      <c r="G14" s="10" t="n">
        <v>1</v>
      </c>
      <c r="H14" s="9" t="inlineStr">
        <is>
          <t>% del total activos</t>
        </is>
      </c>
      <c r="I14" s="9" t="inlineStr"/>
    </row>
    <row r="15">
      <c r="A15" s="6" t="inlineStr">
        <is>
          <t>Pasivos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inlineStr">
        <is>
          <t>Pasivos</t>
        </is>
      </c>
      <c r="B16" s="7" t="inlineStr">
        <is>
          <t>Trade Accounts &amp; Trade Notes Payable - Short-Term</t>
        </is>
      </c>
      <c r="C16" s="7" t="inlineStr">
        <is>
          <t>Cuentas por pagar</t>
        </is>
      </c>
      <c r="D16" s="8" t="n">
        <v>0.09140851999542117</v>
      </c>
      <c r="E16" s="8" t="n">
        <v>0.04004856923309574</v>
      </c>
      <c r="F16" s="8" t="n">
        <v>0.03848615129913138</v>
      </c>
      <c r="G16" s="8" t="n">
        <v>0.04556698962828202</v>
      </c>
      <c r="H16" s="7" t="inlineStr">
        <is>
          <t>% del total activos</t>
        </is>
      </c>
      <c r="I16" s="7" t="inlineStr"/>
    </row>
    <row r="17">
      <c r="A17" s="7" t="inlineStr">
        <is>
          <t>Pasivos</t>
        </is>
      </c>
      <c r="B17" s="7" t="inlineStr">
        <is>
          <t>Short-Term Debt &amp; Current Portion of Long-Term Debt</t>
        </is>
      </c>
      <c r="C17" s="7" t="inlineStr">
        <is>
          <t>Deuda CP</t>
        </is>
      </c>
      <c r="D17" s="8" t="n">
        <v>0.01211647821097625</v>
      </c>
      <c r="E17" s="8" t="n">
        <v>0.02734493668577384</v>
      </c>
      <c r="F17" s="8" t="n">
        <v>0.009364977249619193</v>
      </c>
      <c r="G17" s="8" t="n">
        <v>0.0302377082899301</v>
      </c>
      <c r="H17" s="7" t="inlineStr">
        <is>
          <t>% del total activos</t>
        </is>
      </c>
      <c r="I17" s="7" t="inlineStr"/>
    </row>
    <row r="18">
      <c r="A18" s="7" t="inlineStr">
        <is>
          <t>Pasivos</t>
        </is>
      </c>
      <c r="B18" s="7" t="inlineStr">
        <is>
          <t>Other Current Liabilities</t>
        </is>
      </c>
      <c r="C18" s="7" t="inlineStr">
        <is>
          <t>Otros pas. circulantes</t>
        </is>
      </c>
      <c r="D18" s="8" t="n">
        <v>0.04788254378185501</v>
      </c>
      <c r="E18" s="8" t="n">
        <v>0.1451789268999552</v>
      </c>
      <c r="F18" s="8" t="n">
        <v>0.09154847045010282</v>
      </c>
      <c r="G18" s="8" t="n">
        <v>0.1916782872447408</v>
      </c>
      <c r="H18" s="7" t="inlineStr">
        <is>
          <t>% del total activos</t>
        </is>
      </c>
      <c r="I18" s="7" t="inlineStr"/>
    </row>
    <row r="19">
      <c r="A19" s="9" t="inlineStr">
        <is>
          <t>Pasivos</t>
        </is>
      </c>
      <c r="B19" s="9" t="inlineStr">
        <is>
          <t>Total Current Liabilities</t>
        </is>
      </c>
      <c r="C19" s="9" t="inlineStr">
        <is>
          <t>Total pas. circulante</t>
        </is>
      </c>
      <c r="D19" s="10" t="n">
        <v>0.1514075419882524</v>
      </c>
      <c r="E19" s="10" t="n">
        <v>0.2125724328188247</v>
      </c>
      <c r="F19" s="10" t="n">
        <v>0.1393995989988534</v>
      </c>
      <c r="G19" s="10" t="n">
        <v>0.267482985162953</v>
      </c>
      <c r="H19" s="9" t="inlineStr">
        <is>
          <t>% del total activos</t>
        </is>
      </c>
      <c r="I19" s="9" t="inlineStr"/>
    </row>
    <row r="20">
      <c r="A20" s="7" t="inlineStr">
        <is>
          <t>Pasivos</t>
        </is>
      </c>
      <c r="B20" s="7" t="inlineStr">
        <is>
          <t>Debt - Long-Term - Total</t>
        </is>
      </c>
      <c r="C20" s="7" t="inlineStr">
        <is>
          <t>Deuda LP</t>
        </is>
      </c>
      <c r="D20" s="8" t="n">
        <v>0.13748423289425</v>
      </c>
      <c r="E20" s="8" t="n">
        <v>0.2181986916655446</v>
      </c>
      <c r="F20" s="8" t="n">
        <v>0.2040245608143654</v>
      </c>
      <c r="G20" s="8" t="n">
        <v>0.2969084739978349</v>
      </c>
      <c r="H20" s="7" t="inlineStr">
        <is>
          <t>% del total activos</t>
        </is>
      </c>
      <c r="I20" s="7" t="inlineStr"/>
    </row>
    <row r="21">
      <c r="A21" s="7" t="inlineStr">
        <is>
          <t>Pasivos</t>
        </is>
      </c>
      <c r="B21" s="7" t="inlineStr">
        <is>
          <t>Other Non-Current Liabilities</t>
        </is>
      </c>
      <c r="C21" s="7" t="inlineStr">
        <is>
          <t>Otros pas. no circulantes</t>
        </is>
      </c>
      <c r="D21" s="8" t="n">
        <v>0.1674556438463615</v>
      </c>
      <c r="E21" s="8" t="n">
        <v>0.0277244850417064</v>
      </c>
      <c r="F21" s="8" t="n">
        <v>0.0471320570998417</v>
      </c>
      <c r="G21" s="8" t="n">
        <v>0.08406352661121318</v>
      </c>
      <c r="H21" s="7" t="inlineStr">
        <is>
          <t>% del total activos</t>
        </is>
      </c>
      <c r="I21" s="7" t="inlineStr"/>
    </row>
    <row r="22">
      <c r="A22" s="9" t="inlineStr">
        <is>
          <t>Pasivos</t>
        </is>
      </c>
      <c r="B22" s="9" t="inlineStr">
        <is>
          <t>Total Non-Current Liabilities</t>
        </is>
      </c>
      <c r="C22" s="9" t="inlineStr">
        <is>
          <t>Total pas. no circulante</t>
        </is>
      </c>
      <c r="D22" s="10" t="n">
        <v>0.3049398767406115</v>
      </c>
      <c r="E22" s="10" t="n">
        <v>0.2459231767072511</v>
      </c>
      <c r="F22" s="10" t="n">
        <v>0.2511566179142071</v>
      </c>
      <c r="G22" s="10" t="n">
        <v>0.380972000609048</v>
      </c>
      <c r="H22" s="9" t="inlineStr">
        <is>
          <t>% del total activos</t>
        </is>
      </c>
      <c r="I22" s="9" t="inlineStr"/>
    </row>
    <row r="23">
      <c r="A23" s="9" t="inlineStr">
        <is>
          <t>Pasivos</t>
        </is>
      </c>
      <c r="B23" s="9" t="inlineStr">
        <is>
          <t>Total Liabilities</t>
        </is>
      </c>
      <c r="C23" s="9" t="inlineStr">
        <is>
          <t>Total pasivos</t>
        </is>
      </c>
      <c r="D23" s="10" t="n">
        <v>0.4563474187288639</v>
      </c>
      <c r="E23" s="10" t="n">
        <v>0.4584956095260758</v>
      </c>
      <c r="F23" s="10" t="n">
        <v>0.3905562169130605</v>
      </c>
      <c r="G23" s="10" t="n">
        <v>0.648454985772001</v>
      </c>
      <c r="H23" s="9" t="inlineStr">
        <is>
          <t>% del total activos</t>
        </is>
      </c>
      <c r="I23" s="9" t="inlineStr"/>
    </row>
    <row r="24">
      <c r="A24" s="6" t="inlineStr">
        <is>
          <t>Capital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inlineStr">
        <is>
          <t>Capital</t>
        </is>
      </c>
      <c r="B25" s="7" t="inlineStr">
        <is>
          <t>Common Equity - Total</t>
        </is>
      </c>
      <c r="C25" s="7" t="inlineStr">
        <is>
          <t>Capital común</t>
        </is>
      </c>
      <c r="D25" s="8" t="n">
        <v>0.5227868130485122</v>
      </c>
      <c r="E25" s="8" t="n">
        <v>0.5404442121606159</v>
      </c>
      <c r="F25" s="8" t="n">
        <v>0.5951612106867484</v>
      </c>
      <c r="G25" s="8" t="n">
        <v>0.3413188759416819</v>
      </c>
      <c r="H25" s="7" t="inlineStr">
        <is>
          <t>% del total activos</t>
        </is>
      </c>
      <c r="I25" s="7" t="inlineStr"/>
    </row>
    <row r="26">
      <c r="A26" s="7" t="inlineStr">
        <is>
          <t>Capital</t>
        </is>
      </c>
      <c r="B26" s="7" t="inlineStr">
        <is>
          <t>Other Shareholders' Equity</t>
        </is>
      </c>
      <c r="C26" s="7" t="inlineStr">
        <is>
          <t>Otro capital</t>
        </is>
      </c>
      <c r="D26" s="8" t="n">
        <v>0.02086576822262399</v>
      </c>
      <c r="E26" s="8" t="n">
        <v>0.00106031258348918</v>
      </c>
      <c r="F26" s="8" t="n">
        <v>0.01428257240019108</v>
      </c>
      <c r="G26" s="8" t="n">
        <v>0.01022611861709208</v>
      </c>
      <c r="H26" s="7" t="inlineStr">
        <is>
          <t>% del total activos</t>
        </is>
      </c>
      <c r="I26" s="7" t="inlineStr"/>
    </row>
    <row r="27">
      <c r="A27" s="9" t="inlineStr">
        <is>
          <t>Capital</t>
        </is>
      </c>
      <c r="B27" s="9" t="inlineStr">
        <is>
          <t>Total Shareholders' Equity - including Minority Interest &amp; Hybrid Debt</t>
        </is>
      </c>
      <c r="C27" s="9" t="inlineStr">
        <is>
          <t>Total capital</t>
        </is>
      </c>
      <c r="D27" s="10" t="n">
        <v>0.5436525812711361</v>
      </c>
      <c r="E27" s="10" t="n">
        <v>0.541504524744105</v>
      </c>
      <c r="F27" s="10" t="n">
        <v>0.6094437830869395</v>
      </c>
      <c r="G27" s="10" t="n">
        <v>0.351544994558774</v>
      </c>
      <c r="H27" s="9" t="inlineStr">
        <is>
          <t>% del total activos</t>
        </is>
      </c>
      <c r="I27" s="9" t="inlineStr"/>
    </row>
    <row r="28">
      <c r="A28" s="9" t="inlineStr">
        <is>
          <t>Capital</t>
        </is>
      </c>
      <c r="B28" s="9" t="inlineStr">
        <is>
          <t>Total Liabilities &amp; Equity</t>
        </is>
      </c>
      <c r="C28" s="9" t="inlineStr">
        <is>
          <t>Pasivo + Capital</t>
        </is>
      </c>
      <c r="D28" s="10" t="n">
        <v>1</v>
      </c>
      <c r="E28" s="10" t="n">
        <v>1.000000134270181</v>
      </c>
      <c r="F28" s="10" t="n">
        <v>1</v>
      </c>
      <c r="G28" s="10" t="n">
        <v>0.999999980330775</v>
      </c>
      <c r="H28" s="9" t="inlineStr">
        <is>
          <t>% del total activos</t>
        </is>
      </c>
      <c r="I28" s="9" t="inlineStr"/>
    </row>
    <row r="29">
      <c r="A29" s="6" t="inlineStr">
        <is>
          <t>Ingresos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inlineStr">
        <is>
          <t>Ingresos</t>
        </is>
      </c>
      <c r="B30" s="7" t="inlineStr">
        <is>
          <t>Revenue from Business Activities - Total</t>
        </is>
      </c>
      <c r="C30" s="7" t="inlineStr">
        <is>
          <t>Ingresos</t>
        </is>
      </c>
      <c r="D30" s="8" t="n">
        <v>1</v>
      </c>
      <c r="E30" s="8" t="n">
        <v>1</v>
      </c>
      <c r="F30" s="8" t="n">
        <v>1</v>
      </c>
      <c r="G30" s="8" t="n">
        <v>1</v>
      </c>
      <c r="H30" s="7" t="inlineStr">
        <is>
          <t>% de ingresos</t>
        </is>
      </c>
      <c r="I30" s="7" t="inlineStr"/>
    </row>
    <row r="31">
      <c r="A31" s="7" t="inlineStr">
        <is>
          <t>Ingresos</t>
        </is>
      </c>
      <c r="B31" s="7" t="inlineStr">
        <is>
          <t>Cost of Sales</t>
        </is>
      </c>
      <c r="C31" s="7" t="inlineStr">
        <is>
          <t>Costo de ventas</t>
        </is>
      </c>
      <c r="D31" s="8" t="n">
        <v>0.791334380597161</v>
      </c>
      <c r="E31" s="8" t="n">
        <v>0.4384128199252355</v>
      </c>
      <c r="F31" s="8" t="n">
        <v>0.4643696092102988</v>
      </c>
      <c r="G31" s="8" t="n">
        <v>0.2449251586877344</v>
      </c>
      <c r="H31" s="7" t="inlineStr">
        <is>
          <t>% de ingresos</t>
        </is>
      </c>
      <c r="I31" s="7" t="inlineStr"/>
    </row>
    <row r="32">
      <c r="A32" s="9" t="inlineStr">
        <is>
          <t>Ingresos</t>
        </is>
      </c>
      <c r="B32" s="9" t="inlineStr">
        <is>
          <t>Gross Profit - Industrials/Property - Total</t>
        </is>
      </c>
      <c r="C32" s="9" t="inlineStr">
        <is>
          <t>Utilidad bruta</t>
        </is>
      </c>
      <c r="D32" s="10" t="n">
        <v>0.208665619402839</v>
      </c>
      <c r="E32" s="10" t="n">
        <v>0.5615871800747644</v>
      </c>
      <c r="F32" s="10" t="n">
        <v>0.5356303907897011</v>
      </c>
      <c r="G32" s="10" t="n">
        <v>0.7550748413122657</v>
      </c>
      <c r="H32" s="9" t="inlineStr">
        <is>
          <t>% de ingresos</t>
        </is>
      </c>
      <c r="I32" s="9" t="inlineStr"/>
    </row>
    <row r="33">
      <c r="A33" s="6" t="inlineStr">
        <is>
          <t>Gastos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inlineStr">
        <is>
          <t>Gastos</t>
        </is>
      </c>
      <c r="B34" s="7" t="inlineStr">
        <is>
          <t>Selling, General &amp; Administrative Expenses excluding Research &amp; Development Expenses</t>
        </is>
      </c>
      <c r="C34" s="7" t="inlineStr">
        <is>
          <t>SG&amp;A</t>
        </is>
      </c>
      <c r="D34" s="8" t="n">
        <v>0.05856631410024988</v>
      </c>
      <c r="E34" s="8" t="n">
        <v>0.2347643016264202</v>
      </c>
      <c r="F34" s="8" t="n">
        <v>0.05309774478928983</v>
      </c>
      <c r="G34" s="8" t="n">
        <v>0.2036466744405789</v>
      </c>
      <c r="H34" s="7" t="inlineStr">
        <is>
          <t>% de ingresos</t>
        </is>
      </c>
      <c r="I34" s="7" t="inlineStr"/>
    </row>
    <row r="35">
      <c r="A35" s="7" t="inlineStr">
        <is>
          <t>Gastos</t>
        </is>
      </c>
      <c r="B35" s="7" t="inlineStr">
        <is>
          <t>Research &amp; Development Expense - Supplemental</t>
        </is>
      </c>
      <c r="C35" s="7" t="inlineStr">
        <is>
          <t>I+D</t>
        </is>
      </c>
      <c r="D35" s="8" t="n">
        <v>0.001857435358744992</v>
      </c>
      <c r="E35" s="8" t="n">
        <v>0.1817882576340713</v>
      </c>
      <c r="F35" s="8" t="n">
        <v>0.1582498276683969</v>
      </c>
      <c r="G35" s="8" t="n">
        <v>0.1967856704206749</v>
      </c>
      <c r="H35" s="7" t="inlineStr">
        <is>
          <t>% de ingresos</t>
        </is>
      </c>
      <c r="I35" s="7" t="inlineStr"/>
    </row>
    <row r="36">
      <c r="A36" s="7" t="inlineStr">
        <is>
          <t>Gastos</t>
        </is>
      </c>
      <c r="B36" s="7" t="inlineStr">
        <is>
          <t>Other (operativo)</t>
        </is>
      </c>
      <c r="C36" s="7" t="inlineStr">
        <is>
          <t>Otros gastos operativos</t>
        </is>
      </c>
      <c r="D36" s="8" t="n">
        <v>0.03308204791723883</v>
      </c>
      <c r="E36" s="8" t="n">
        <v>-0.005128489251611544</v>
      </c>
      <c r="F36" s="8" t="n">
        <v>2.675370538819626e-05</v>
      </c>
      <c r="G36" s="8" t="n">
        <v>-0.01305713869714564</v>
      </c>
      <c r="H36" s="7" t="inlineStr">
        <is>
          <t>% de ingresos</t>
        </is>
      </c>
      <c r="I36" s="7" t="inlineStr"/>
    </row>
    <row r="37">
      <c r="A37" s="7" t="inlineStr">
        <is>
          <t>Gastos</t>
        </is>
      </c>
      <c r="B37" s="7" t="inlineStr">
        <is>
          <t>Operating Expenses - Total</t>
        </is>
      </c>
      <c r="C37" s="7" t="inlineStr">
        <is>
          <t>Total gastos operativos</t>
        </is>
      </c>
      <c r="D37" s="8" t="n">
        <v>0.8848401779733948</v>
      </c>
      <c r="E37" s="8" t="n">
        <v>0.8498368899341154</v>
      </c>
      <c r="F37" s="8" t="n">
        <v>0.6757439353733738</v>
      </c>
      <c r="G37" s="8" t="n">
        <v>0.6323003648518425</v>
      </c>
      <c r="H37" s="7" t="inlineStr">
        <is>
          <t>% de ingresos</t>
        </is>
      </c>
      <c r="I37" s="7" t="inlineStr"/>
    </row>
    <row r="38">
      <c r="A38" s="7" t="inlineStr">
        <is>
          <t>Gastos</t>
        </is>
      </c>
      <c r="B38" s="7" t="inlineStr">
        <is>
          <t>Depreciation, Depletion &amp; Amortization - Total</t>
        </is>
      </c>
      <c r="C38" s="7" t="inlineStr">
        <is>
          <t>Depreciación y amortización</t>
        </is>
      </c>
      <c r="D38" s="8" t="n">
        <v>0.1023704999168954</v>
      </c>
      <c r="E38" s="8" t="n">
        <v>0.03746132827366513</v>
      </c>
      <c r="F38" s="8" t="n">
        <v>0.1494643218562733</v>
      </c>
      <c r="G38" s="8" t="n">
        <v>0.06381119508626852</v>
      </c>
      <c r="H38" s="7" t="inlineStr">
        <is>
          <t>% de ingresos</t>
        </is>
      </c>
      <c r="I38" s="7" t="inlineStr"/>
    </row>
    <row r="39">
      <c r="A39" s="7" t="inlineStr">
        <is>
          <t>Gastos</t>
        </is>
      </c>
      <c r="B39" s="7" t="inlineStr">
        <is>
          <t>Interest Expense - Net of (Interest Income)</t>
        </is>
      </c>
      <c r="C39" s="7" t="inlineStr">
        <is>
          <t>Gasto por intereses (neto)</t>
        </is>
      </c>
      <c r="D39" s="8" t="n">
        <v>0.005272598408471278</v>
      </c>
      <c r="E39" s="8" t="n">
        <v>0.006102537155406154</v>
      </c>
      <c r="F39" s="8" t="n">
        <v>0.008525279407048078</v>
      </c>
      <c r="G39" s="8" t="n">
        <v>0.01107302605453069</v>
      </c>
      <c r="H39" s="7" t="inlineStr">
        <is>
          <t>% de ingresos</t>
        </is>
      </c>
      <c r="I39" s="7" t="inlineStr"/>
    </row>
    <row r="40">
      <c r="A40" s="7" t="inlineStr">
        <is>
          <t>Gastos</t>
        </is>
      </c>
      <c r="B40" s="7" t="inlineStr">
        <is>
          <t>Other (no operativo)</t>
        </is>
      </c>
      <c r="C40" s="7" t="inlineStr">
        <is>
          <t>Otros (no operativos)</t>
        </is>
      </c>
      <c r="D40" s="8" t="n">
        <v>0.008882807598407066</v>
      </c>
      <c r="E40" s="8" t="n">
        <v>-0.01551974056888554</v>
      </c>
      <c r="F40" s="8" t="n">
        <v>0.006119293164058901</v>
      </c>
      <c r="G40" s="8" t="n">
        <v>-0.02146777086869329</v>
      </c>
      <c r="H40" s="7" t="inlineStr">
        <is>
          <t>% de ingresos</t>
        </is>
      </c>
      <c r="I40" s="7" t="inlineStr"/>
    </row>
    <row r="41">
      <c r="A41" s="6" t="inlineStr">
        <is>
          <t>Utilidad e Impuestos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9" t="inlineStr">
        <is>
          <t>Utilidad e Impuestos</t>
        </is>
      </c>
      <c r="B42" s="9" t="inlineStr">
        <is>
          <t>Earnings before Interest &amp; Taxes (EBIT)</t>
        </is>
      </c>
      <c r="C42" s="9" t="inlineStr">
        <is>
          <t>EBIT</t>
        </is>
      </c>
      <c r="D42" s="10" t="n">
        <v>0.1151598220266053</v>
      </c>
      <c r="E42" s="10" t="n">
        <v>0.1501631100658845</v>
      </c>
      <c r="F42" s="10" t="n">
        <v>0.3242560646266262</v>
      </c>
      <c r="G42" s="10" t="n">
        <v>0.3676996351481575</v>
      </c>
      <c r="H42" s="9" t="inlineStr">
        <is>
          <t>% de ingresos</t>
        </is>
      </c>
      <c r="I42" s="9" t="inlineStr"/>
    </row>
    <row r="43">
      <c r="A43" s="7" t="inlineStr">
        <is>
          <t>Utilidad e Impuestos</t>
        </is>
      </c>
      <c r="B43" s="7" t="inlineStr">
        <is>
          <t>Earnings before Interest, Taxes, Depreciation &amp; Amortization (EBITDA)</t>
        </is>
      </c>
      <c r="C43" s="7" t="inlineStr">
        <is>
          <t>EBITDA</t>
        </is>
      </c>
      <c r="D43" s="8" t="n">
        <v>0.2175303219435007</v>
      </c>
      <c r="E43" s="8" t="n">
        <v>0.1876244383395496</v>
      </c>
      <c r="F43" s="8" t="n">
        <v>0.4737203864828995</v>
      </c>
      <c r="G43" s="8" t="n">
        <v>0.4315108302344259</v>
      </c>
      <c r="H43" s="7" t="inlineStr">
        <is>
          <t>% de ingresos</t>
        </is>
      </c>
      <c r="I43" s="7" t="inlineStr"/>
    </row>
    <row r="44">
      <c r="A44" s="7" t="inlineStr">
        <is>
          <t>Utilidad e Impuestos</t>
        </is>
      </c>
      <c r="B44" s="7" t="inlineStr">
        <is>
          <t>Income before Taxes</t>
        </is>
      </c>
      <c r="C44" s="7" t="inlineStr">
        <is>
          <t>Utilidad antes de impuestos</t>
        </is>
      </c>
      <c r="D44" s="8" t="n">
        <v>0.1187700312165411</v>
      </c>
      <c r="E44" s="8" t="n">
        <v>0.1285408323415928</v>
      </c>
      <c r="F44" s="8" t="n">
        <v>0.321850078383637</v>
      </c>
      <c r="G44" s="8" t="n">
        <v>0.3351588382249335</v>
      </c>
      <c r="H44" s="7" t="inlineStr">
        <is>
          <t>% de ingresos</t>
        </is>
      </c>
      <c r="I44" s="7" t="inlineStr"/>
    </row>
    <row r="45">
      <c r="A45" s="7" t="inlineStr">
        <is>
          <t>Utilidad e Impuestos</t>
        </is>
      </c>
      <c r="B45" s="7" t="inlineStr">
        <is>
          <t>Income Taxes</t>
        </is>
      </c>
      <c r="C45" s="7" t="inlineStr">
        <is>
          <t>Impuestos</t>
        </is>
      </c>
      <c r="D45" s="8" t="n">
        <v>0.04189807788445992</v>
      </c>
      <c r="E45" s="8" t="n">
        <v>0.009833625027740142</v>
      </c>
      <c r="F45" s="8" t="n">
        <v>0.03455903213301054</v>
      </c>
      <c r="G45" s="8" t="n">
        <v>0.05588762630385075</v>
      </c>
      <c r="H45" s="7" t="inlineStr">
        <is>
          <t>% de ingresos</t>
        </is>
      </c>
      <c r="I45" s="7" t="inlineStr"/>
    </row>
    <row r="46">
      <c r="A46" s="7" t="inlineStr">
        <is>
          <t>Utilidad e Impuestos</t>
        </is>
      </c>
      <c r="B46" s="7" t="inlineStr">
        <is>
          <t>Other (después de impuestos)</t>
        </is>
      </c>
      <c r="C46" s="7" t="inlineStr">
        <is>
          <t>Otros (después de impuestos)</t>
        </is>
      </c>
      <c r="D46" s="8" t="n">
        <v>0.00100360266502163</v>
      </c>
      <c r="E46" s="8" t="n">
        <v>0.0003218884120171674</v>
      </c>
      <c r="F46" s="8" t="n">
        <v>-0.001325723599805399</v>
      </c>
      <c r="G46" s="8" t="n">
        <v>-0.006423532570473608</v>
      </c>
      <c r="H46" s="7" t="inlineStr">
        <is>
          <t>% de ingresos</t>
        </is>
      </c>
      <c r="I46" s="7" t="inlineStr"/>
    </row>
    <row r="47">
      <c r="A47" s="9" t="inlineStr">
        <is>
          <t>Utilidad e Impuestos</t>
        </is>
      </c>
      <c r="B47" s="9" t="inlineStr">
        <is>
          <t>Net Income after Minority Interest</t>
        </is>
      </c>
      <c r="C47" s="9" t="inlineStr">
        <is>
          <t>Utilidad neta</t>
        </is>
      </c>
      <c r="D47" s="10" t="n">
        <v>0.07787555599710279</v>
      </c>
      <c r="E47" s="10" t="n">
        <v>0.1190290957258698</v>
      </c>
      <c r="F47" s="10" t="n">
        <v>0.2859653226508211</v>
      </c>
      <c r="G47" s="10" t="n">
        <v>0.2728476793506092</v>
      </c>
      <c r="H47" s="9" t="inlineStr">
        <is>
          <t>% de ingresos</t>
        </is>
      </c>
      <c r="I47" s="9" t="inlineStr"/>
    </row>
    <row r="48">
      <c r="A48" s="6" t="inlineStr">
        <is>
          <t>Indicadores: Liquidez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inlineStr">
        <is>
          <t>Indicadores: Liquidez</t>
        </is>
      </c>
      <c r="B49" s="7" t="inlineStr">
        <is>
          <t>Razón corriente (CR)</t>
        </is>
      </c>
      <c r="C49" s="7" t="inlineStr">
        <is>
          <t>Razón corriente</t>
        </is>
      </c>
      <c r="D49" s="11" t="n">
        <v>1.312477591719356</v>
      </c>
      <c r="E49" s="11" t="n">
        <v>2.619848601391999</v>
      </c>
      <c r="F49" s="11" t="n">
        <v>2.670058346542604</v>
      </c>
      <c r="G49" s="11" t="n">
        <v>1.381530221888249</v>
      </c>
      <c r="H49" s="7" t="inlineStr">
        <is>
          <t>x</t>
        </is>
      </c>
      <c r="I49" s="7" t="inlineStr"/>
    </row>
    <row r="50">
      <c r="A50" s="7" t="inlineStr">
        <is>
          <t>Indicadores: Liquidez</t>
        </is>
      </c>
      <c r="B50" s="7" t="inlineStr">
        <is>
          <t>Prueba ácida (QR)</t>
        </is>
      </c>
      <c r="C50" s="7" t="inlineStr">
        <is>
          <t>Prueba ácida</t>
        </is>
      </c>
      <c r="D50" s="11" t="n">
        <v>0.7458881023423507</v>
      </c>
      <c r="E50" s="11" t="n">
        <v>2.19490243120755</v>
      </c>
      <c r="F50" s="11" t="n">
        <v>1.940976977503598</v>
      </c>
      <c r="G50" s="11" t="n">
        <v>0.8229429670516849</v>
      </c>
      <c r="H50" s="7" t="inlineStr">
        <is>
          <t>x</t>
        </is>
      </c>
      <c r="I50" s="7" t="inlineStr"/>
    </row>
    <row r="51">
      <c r="A51" s="7" t="inlineStr">
        <is>
          <t>Indicadores: Liquidez</t>
        </is>
      </c>
      <c r="B51" s="7" t="inlineStr">
        <is>
          <t>Capital de trabajo neto (NWC) (USD mm)</t>
        </is>
      </c>
      <c r="C51" s="7" t="inlineStr">
        <is>
          <t>Capital de trabajo neto (USD mm)</t>
        </is>
      </c>
      <c r="D51" s="12" t="n">
        <v>7219.5</v>
      </c>
      <c r="E51" s="12" t="n">
        <v>2050.0425</v>
      </c>
      <c r="F51" s="12" t="n">
        <v>31159.5</v>
      </c>
      <c r="G51" s="12" t="n">
        <v>12657.0825</v>
      </c>
      <c r="H51" s="7" t="inlineStr">
        <is>
          <t>usd</t>
        </is>
      </c>
      <c r="I51" s="7" t="inlineStr"/>
    </row>
    <row r="52">
      <c r="A52" s="6" t="inlineStr">
        <is>
          <t>Indicadores: Eficiencia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inlineStr">
        <is>
          <t>Indicadores: Eficiencia</t>
        </is>
      </c>
      <c r="B53" s="7" t="inlineStr">
        <is>
          <t>Rotación de inventario (ITR)</t>
        </is>
      </c>
      <c r="C53" s="7" t="inlineStr">
        <is>
          <t>Rotación de inventario</t>
        </is>
      </c>
      <c r="D53" s="11" t="n">
        <v>15.48220802249024</v>
      </c>
      <c r="E53" s="11" t="n">
        <v>0.5588364155012403</v>
      </c>
      <c r="F53" s="11" t="n">
        <v>5.23676487963042</v>
      </c>
      <c r="G53" s="11" t="n">
        <v>1.95194537626354</v>
      </c>
      <c r="H53" s="7" t="inlineStr">
        <is>
          <t>x</t>
        </is>
      </c>
      <c r="I53" s="7" t="inlineStr"/>
    </row>
    <row r="54">
      <c r="A54" s="7" t="inlineStr">
        <is>
          <t>Indicadores: Eficiencia</t>
        </is>
      </c>
      <c r="B54" s="7" t="inlineStr">
        <is>
          <t>Rotación de activos fijos netos (FAT)</t>
        </is>
      </c>
      <c r="C54" s="7" t="inlineStr">
        <is>
          <t>Rotación de activos fijos netos</t>
        </is>
      </c>
      <c r="D54" s="11" t="n">
        <v>1.63533098461426</v>
      </c>
      <c r="E54" s="11" t="n">
        <v>31.14183752120595</v>
      </c>
      <c r="F54" s="11" t="n">
        <v>8.512614458922194</v>
      </c>
      <c r="G54" s="11" t="n">
        <v>2.838002256894121</v>
      </c>
      <c r="H54" s="7" t="inlineStr">
        <is>
          <t>x</t>
        </is>
      </c>
      <c r="I54" s="7" t="inlineStr"/>
    </row>
    <row r="55">
      <c r="A55" s="7" t="inlineStr">
        <is>
          <t>Indicadores: Eficiencia</t>
        </is>
      </c>
      <c r="B55" s="7" t="inlineStr">
        <is>
          <t>Rotación de activos totales (ATR)</t>
        </is>
      </c>
      <c r="C55" s="7" t="inlineStr">
        <is>
          <t>Rotación de activos totales</t>
        </is>
      </c>
      <c r="D55" s="11" t="n">
        <v>0.9434679084709435</v>
      </c>
      <c r="E55" s="11" t="n">
        <v>0.545613395996051</v>
      </c>
      <c r="F55" s="11" t="n">
        <v>0.5610351731483869</v>
      </c>
      <c r="G55" s="11" t="n">
        <v>0.5279055968000547</v>
      </c>
      <c r="H55" s="7" t="inlineStr">
        <is>
          <t>x</t>
        </is>
      </c>
      <c r="I55" s="7" t="inlineStr"/>
    </row>
    <row r="56">
      <c r="A56" s="7" t="inlineStr">
        <is>
          <t>Indicadores: Eficiencia</t>
        </is>
      </c>
      <c r="B56" s="7" t="inlineStr">
        <is>
          <t>Días promedio de cartera (DSO)</t>
        </is>
      </c>
      <c r="C56" s="7" t="inlineStr">
        <is>
          <t>Días de cuentas por cobrar</t>
        </is>
      </c>
      <c r="D56" s="13" t="n">
        <v>30.35168445229388</v>
      </c>
      <c r="E56" s="13" t="n">
        <v>82.84900691123613</v>
      </c>
      <c r="F56" s="13" t="n">
        <v>50.44826163696503</v>
      </c>
      <c r="G56" s="13" t="n">
        <v>75.70703470495845</v>
      </c>
      <c r="H56" s="7" t="inlineStr">
        <is>
          <t>días</t>
        </is>
      </c>
      <c r="I56" s="7" t="inlineStr"/>
    </row>
    <row r="57">
      <c r="A57" s="7" t="inlineStr">
        <is>
          <t>Indicadores: Eficiencia</t>
        </is>
      </c>
      <c r="B57" s="7" t="inlineStr">
        <is>
          <t>Días promedio de inventario (DIO)</t>
        </is>
      </c>
      <c r="C57" s="7" t="inlineStr">
        <is>
          <t>Días de inventario</t>
        </is>
      </c>
      <c r="D57" s="13" t="n">
        <v>26.6666944357223</v>
      </c>
      <c r="E57" s="13" t="n">
        <v>178.8968086239066</v>
      </c>
      <c r="F57" s="13" t="n">
        <v>101.9925379645031</v>
      </c>
      <c r="G57" s="13" t="n">
        <v>241.6691834770411</v>
      </c>
      <c r="H57" s="7" t="inlineStr">
        <is>
          <t>días</t>
        </is>
      </c>
      <c r="I57" s="7" t="inlineStr"/>
    </row>
    <row r="58">
      <c r="A58" s="7" t="inlineStr">
        <is>
          <t>Indicadores: Eficiencia</t>
        </is>
      </c>
      <c r="B58" s="7" t="inlineStr">
        <is>
          <t>Periodo promedio de pago (DPO)</t>
        </is>
      </c>
      <c r="C58" s="7" t="inlineStr">
        <is>
          <t>Días de cuentas por pagar</t>
        </is>
      </c>
      <c r="D58" s="13" t="n">
        <v>48.1813545939323</v>
      </c>
      <c r="E58" s="13" t="n">
        <v>186.2451244927245</v>
      </c>
      <c r="F58" s="13" t="n">
        <v>64.05615067577239</v>
      </c>
      <c r="G58" s="13" t="n">
        <v>132.8602131229988</v>
      </c>
      <c r="H58" s="7" t="inlineStr">
        <is>
          <t>días</t>
        </is>
      </c>
      <c r="I58" s="7" t="inlineStr"/>
    </row>
    <row r="59">
      <c r="A59" s="7" t="inlineStr">
        <is>
          <t>Indicadores: Eficiencia</t>
        </is>
      </c>
      <c r="B59" s="7" t="inlineStr">
        <is>
          <t>Ciclo operativo (OC)</t>
        </is>
      </c>
      <c r="C59" s="7" t="inlineStr">
        <is>
          <t>Ciclo operativo</t>
        </is>
      </c>
      <c r="D59" s="13" t="n">
        <v>57.01837888801619</v>
      </c>
      <c r="E59" s="13" t="n">
        <v>261.7458155351426</v>
      </c>
      <c r="F59" s="13" t="n">
        <v>152.4407996014681</v>
      </c>
      <c r="G59" s="13" t="n">
        <v>317.3762181819995</v>
      </c>
      <c r="H59" s="7" t="inlineStr">
        <is>
          <t>días</t>
        </is>
      </c>
      <c r="I59" s="7" t="inlineStr"/>
    </row>
    <row r="60">
      <c r="A60" s="7" t="inlineStr">
        <is>
          <t>Indicadores: Eficiencia</t>
        </is>
      </c>
      <c r="B60" s="7" t="inlineStr">
        <is>
          <t>Ciclo de efectivo (CC)</t>
        </is>
      </c>
      <c r="C60" s="7" t="inlineStr">
        <is>
          <t>Ciclo de efectivo</t>
        </is>
      </c>
      <c r="D60" s="13" t="n">
        <v>8.837024294083879</v>
      </c>
      <c r="E60" s="13" t="n">
        <v>75.50069104241814</v>
      </c>
      <c r="F60" s="13" t="n">
        <v>88.38464892569576</v>
      </c>
      <c r="G60" s="13" t="n">
        <v>184.5160050590007</v>
      </c>
      <c r="H60" s="7" t="inlineStr">
        <is>
          <t>días</t>
        </is>
      </c>
      <c r="I60" s="7" t="inlineStr"/>
    </row>
    <row r="61">
      <c r="A61" s="6" t="inlineStr">
        <is>
          <t>Indicadores: Apalancamiento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inlineStr">
        <is>
          <t>Indicadores: Apalancamiento</t>
        </is>
      </c>
      <c r="B62" s="7" t="inlineStr">
        <is>
          <t>Nivel de endeudamiento (Debt to Assets)</t>
        </is>
      </c>
      <c r="C62" s="7" t="inlineStr">
        <is>
          <t>Nivel de endeudamiento</t>
        </is>
      </c>
      <c r="D62" s="8" t="n">
        <v>0.4563474187288639</v>
      </c>
      <c r="E62" s="8" t="n">
        <v>0.4584956095260758</v>
      </c>
      <c r="F62" s="8" t="n">
        <v>0.3905562169130605</v>
      </c>
      <c r="G62" s="8" t="n">
        <v>0.648454985772001</v>
      </c>
      <c r="H62" s="7" t="inlineStr">
        <is>
          <t>pct</t>
        </is>
      </c>
      <c r="I62" s="7" t="inlineStr"/>
    </row>
    <row r="63">
      <c r="A63" s="7" t="inlineStr">
        <is>
          <t>Indicadores: Apalancamiento</t>
        </is>
      </c>
      <c r="B63" s="7" t="inlineStr">
        <is>
          <t>Cobertura de intereses (Interest Coverage)</t>
        </is>
      </c>
      <c r="C63" s="7" t="inlineStr">
        <is>
          <t>Cobertura de intereses</t>
        </is>
      </c>
      <c r="D63" s="11" t="n">
        <v>28.33632942581404</v>
      </c>
      <c r="E63" s="11" t="n">
        <v>-8.602914489733271</v>
      </c>
      <c r="F63" s="11" t="n">
        <v>-140.832192075203</v>
      </c>
      <c r="G63" s="11" t="n">
        <v>-59.97917778028859</v>
      </c>
      <c r="H63" s="7" t="inlineStr">
        <is>
          <t>x</t>
        </is>
      </c>
      <c r="I63" s="7" t="inlineStr"/>
    </row>
    <row r="64">
      <c r="A64" s="6" t="inlineStr">
        <is>
          <t>Indicadores: Rentabilidad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inlineStr">
        <is>
          <t>Indicadores: Rentabilidad</t>
        </is>
      </c>
      <c r="B65" s="7" t="inlineStr">
        <is>
          <t>Margen neto (NPM)</t>
        </is>
      </c>
      <c r="C65" s="7" t="inlineStr">
        <is>
          <t>Margen neto</t>
        </is>
      </c>
      <c r="D65" s="8" t="n">
        <v>0.07787555599710279</v>
      </c>
      <c r="E65" s="8" t="n">
        <v>0.1190290957258698</v>
      </c>
      <c r="F65" s="8" t="n">
        <v>0.2859653226508211</v>
      </c>
      <c r="G65" s="8" t="n">
        <v>0.2728476793506092</v>
      </c>
      <c r="H65" s="7" t="inlineStr">
        <is>
          <t>pct</t>
        </is>
      </c>
      <c r="I65" s="7" t="inlineStr"/>
    </row>
    <row r="66">
      <c r="A66" s="7" t="inlineStr">
        <is>
          <t>Indicadores: Rentabilidad</t>
        </is>
      </c>
      <c r="B66" s="7" t="inlineStr">
        <is>
          <t>Margen operacional (OM)</t>
        </is>
      </c>
      <c r="C66" s="7" t="inlineStr">
        <is>
          <t>Margen operacional</t>
        </is>
      </c>
      <c r="D66" s="8" t="n">
        <v>0.1151598220266053</v>
      </c>
      <c r="E66" s="8" t="n">
        <v>0.1501631100658845</v>
      </c>
      <c r="F66" s="8" t="n">
        <v>0.3242560646266262</v>
      </c>
      <c r="G66" s="8" t="n">
        <v>0.3676996351481575</v>
      </c>
      <c r="H66" s="7" t="inlineStr">
        <is>
          <t>pct</t>
        </is>
      </c>
      <c r="I66" s="7" t="inlineStr"/>
    </row>
    <row r="67">
      <c r="A67" s="7" t="inlineStr">
        <is>
          <t>Indicadores: Rentabilidad</t>
        </is>
      </c>
      <c r="B67" s="7" t="inlineStr">
        <is>
          <t>ROA</t>
        </is>
      </c>
      <c r="C67" s="7" t="inlineStr">
        <is>
          <t>ROA</t>
        </is>
      </c>
      <c r="D67" s="8" t="n">
        <v>0.05205029170786023</v>
      </c>
      <c r="E67" s="8" t="n">
        <v>0.06084022555368589</v>
      </c>
      <c r="F67" s="8" t="n">
        <v>0.2225188657785597</v>
      </c>
      <c r="G67" s="8" t="n">
        <v>0.1434417966529307</v>
      </c>
      <c r="H67" s="7" t="inlineStr">
        <is>
          <t>pct</t>
        </is>
      </c>
      <c r="I67" s="7" t="inlineStr"/>
    </row>
    <row r="68">
      <c r="A68" s="7" t="inlineStr">
        <is>
          <t>Indicadores: Rentabilidad</t>
        </is>
      </c>
      <c r="B68" s="7" t="inlineStr">
        <is>
          <t>ROE</t>
        </is>
      </c>
      <c r="C68" s="7" t="inlineStr">
        <is>
          <t>ROE</t>
        </is>
      </c>
      <c r="D68" s="8" t="n">
        <v>0.09607603469683618</v>
      </c>
      <c r="E68" s="8" t="n">
        <v>0.1179663782343162</v>
      </c>
      <c r="F68" s="8" t="n">
        <v>0.3396860902411207</v>
      </c>
      <c r="G68" s="8" t="n">
        <v>0.4446015384443849</v>
      </c>
      <c r="H68" s="7" t="inlineStr">
        <is>
          <t>pct</t>
        </is>
      </c>
      <c r="I68" s="7" t="inlineStr"/>
    </row>
    <row r="69">
      <c r="A69" s="7" t="inlineStr">
        <is>
          <t>Indicadores: Rentabilidad</t>
        </is>
      </c>
      <c r="B69" s="7" t="inlineStr">
        <is>
          <t>ROC</t>
        </is>
      </c>
      <c r="C69" s="7" t="inlineStr">
        <is>
          <t>ROC</t>
        </is>
      </c>
      <c r="D69" s="8" t="n">
        <v>0.07713211952506625</v>
      </c>
      <c r="E69" s="8" t="n">
        <v>0.08790245235320547</v>
      </c>
      <c r="F69" s="8" t="n">
        <v>0.2783160676855504</v>
      </c>
      <c r="G69" s="8" t="n">
        <v>0.2419546422550068</v>
      </c>
      <c r="H69" s="7" t="inlineStr">
        <is>
          <t>pct</t>
        </is>
      </c>
      <c r="I69" s="7" t="inlineStr"/>
    </row>
    <row r="70">
      <c r="A70" s="7" t="inlineStr">
        <is>
          <t>Indicadores: Rentabilidad</t>
        </is>
      </c>
      <c r="B70" s="7" t="inlineStr">
        <is>
          <t>ROIC</t>
        </is>
      </c>
      <c r="C70" s="7" t="inlineStr">
        <is>
          <t>ROIC</t>
        </is>
      </c>
      <c r="D70" s="8" t="n">
        <v>0.06727845226650284</v>
      </c>
      <c r="E70" s="8" t="n">
        <v>0.154301286754084</v>
      </c>
      <c r="F70" s="8" t="n">
        <v>0.2919622998453038</v>
      </c>
      <c r="G70" s="8" t="n">
        <v>0.2466291662528448</v>
      </c>
      <c r="H70" s="7" t="inlineStr">
        <is>
          <t>pct</t>
        </is>
      </c>
      <c r="I70" s="7" t="inlineStr"/>
    </row>
    <row r="71">
      <c r="A71" s="7" t="inlineStr">
        <is>
          <t>Indicadores: Rentabilidad</t>
        </is>
      </c>
      <c r="B71" s="7" t="inlineStr">
        <is>
          <t>ROCE</t>
        </is>
      </c>
      <c r="C71" s="7" t="inlineStr">
        <is>
          <t>ROCE</t>
        </is>
      </c>
      <c r="D71" s="8" t="n">
        <v>0.06329627443861655</v>
      </c>
      <c r="E71" s="8" t="n">
        <v>0.08814329235071967</v>
      </c>
      <c r="F71" s="8" t="n">
        <v>0.2629334240292811</v>
      </c>
      <c r="G71" s="8" t="n">
        <v>0.2235169334325555</v>
      </c>
      <c r="H71" s="7" t="inlineStr">
        <is>
          <t>pct</t>
        </is>
      </c>
      <c r="I71" s="7" t="inlineStr"/>
    </row>
    <row r="73">
      <c r="A73" s="14" t="inlineStr">
        <is>
          <t>Notas</t>
        </is>
      </c>
    </row>
    <row r="74">
      <c r="A74" t="inlineStr">
        <is>
          <t>• Balance: cada partida como % del Total de Activos. Estado de resultados: cada partida como % de Ingresos. Indicadores: en sus unidades (veces, días, % o USD mm). Promedio simple de 4 empresas por industria.</t>
        </is>
      </c>
    </row>
    <row r="75">
      <c r="A75" t="inlineStr">
        <is>
          <t>• Empresas por industria: O&amp;G: Conoco, Chevron, Exxon, Valero | Biotech: IQVIA, Argenx, Beone, ICON | Tecnología: NVIDIA, Intel, Broadcom, Micron | Pharma: Eli Lilly, J&amp;J, Merck, Roche</t>
        </is>
      </c>
    </row>
  </sheetData>
  <mergeCells count="10">
    <mergeCell ref="A15:I15"/>
    <mergeCell ref="A29:I29"/>
    <mergeCell ref="A52:I52"/>
    <mergeCell ref="A64:I64"/>
    <mergeCell ref="A41:I41"/>
    <mergeCell ref="A33:I33"/>
    <mergeCell ref="A2:I2"/>
    <mergeCell ref="A61:I61"/>
    <mergeCell ref="A48:I48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5" t="inlineStr">
        <is>
          <t>Categoría</t>
        </is>
      </c>
      <c r="B1" s="15" t="inlineStr">
        <is>
          <t>Item</t>
        </is>
      </c>
      <c r="C1" s="15" t="inlineStr">
        <is>
          <t>O&amp;G · Conoco</t>
        </is>
      </c>
      <c r="D1" s="15" t="inlineStr">
        <is>
          <t>O&amp;G · Chevron</t>
        </is>
      </c>
      <c r="E1" s="15" t="inlineStr">
        <is>
          <t>O&amp;G · Exxon</t>
        </is>
      </c>
      <c r="F1" s="15" t="inlineStr">
        <is>
          <t>O&amp;G · Valero</t>
        </is>
      </c>
      <c r="G1" s="15" t="inlineStr">
        <is>
          <t>O&amp;G · Average</t>
        </is>
      </c>
      <c r="H1" s="15" t="inlineStr">
        <is>
          <t>Biotech · IQVIA</t>
        </is>
      </c>
      <c r="I1" s="15" t="inlineStr">
        <is>
          <t>Biotech · Argenx</t>
        </is>
      </c>
      <c r="J1" s="15" t="inlineStr">
        <is>
          <t>Biotech · Beone</t>
        </is>
      </c>
      <c r="K1" s="15" t="inlineStr">
        <is>
          <t>Biotech · ICON</t>
        </is>
      </c>
      <c r="L1" s="15" t="inlineStr">
        <is>
          <t>Biotech · Average</t>
        </is>
      </c>
      <c r="M1" s="15" t="inlineStr">
        <is>
          <t>Tecnología · NVIDIA</t>
        </is>
      </c>
      <c r="N1" s="15" t="inlineStr">
        <is>
          <t>Tecnología · Intel</t>
        </is>
      </c>
      <c r="O1" s="15" t="inlineStr">
        <is>
          <t>Tecnología · Broadcom</t>
        </is>
      </c>
      <c r="P1" s="15" t="inlineStr">
        <is>
          <t>Tecnología · Micron</t>
        </is>
      </c>
      <c r="Q1" s="15" t="inlineStr">
        <is>
          <t>Tecnología · Average</t>
        </is>
      </c>
      <c r="R1" s="15" t="inlineStr">
        <is>
          <t>Pharma · Eli Lilly</t>
        </is>
      </c>
      <c r="S1" s="15" t="inlineStr">
        <is>
          <t>Pharma · J&amp;J</t>
        </is>
      </c>
      <c r="T1" s="15" t="inlineStr">
        <is>
          <t>Pharma · Merck</t>
        </is>
      </c>
      <c r="U1" s="15" t="inlineStr">
        <is>
          <t>Pharma · Roche</t>
        </is>
      </c>
      <c r="V1" s="15" t="inlineStr">
        <is>
          <t>Pharma · Average</t>
        </is>
      </c>
    </row>
    <row r="2">
      <c r="A2" t="inlineStr">
        <is>
          <t>Activos</t>
        </is>
      </c>
      <c r="B2" t="inlineStr">
        <is>
          <t>Efectivo</t>
        </is>
      </c>
      <c r="C2" s="16" t="n">
        <v>0.05328073873002075</v>
      </c>
      <c r="D2" s="16" t="n">
        <v>0.01942212016838882</v>
      </c>
      <c r="E2" s="16" t="n">
        <v>0.02378947837320148</v>
      </c>
      <c r="F2" s="16" t="n">
        <v>0.08084431261640339</v>
      </c>
      <c r="G2" s="16" t="n">
        <v>0.04433416247200361</v>
      </c>
      <c r="H2" s="16" t="n">
        <v>0.06612343040341971</v>
      </c>
      <c r="I2" s="16" t="n">
        <v>0.4020977369916466</v>
      </c>
      <c r="J2" s="16" t="n">
        <v>0.5553509342901142</v>
      </c>
      <c r="K2" s="16" t="n">
        <v>0.03978477902910855</v>
      </c>
      <c r="L2" s="16" t="n">
        <v>0.2658392201785723</v>
      </c>
      <c r="M2" s="16" t="n">
        <v>0.07696167597064542</v>
      </c>
      <c r="N2" s="16" t="n">
        <v>0.06746945783218007</v>
      </c>
      <c r="O2" s="16" t="n">
        <v>0.0945573141935333</v>
      </c>
      <c r="P2" s="16" t="n">
        <v>0.1164520882146912</v>
      </c>
      <c r="Q2" s="16" t="n">
        <v>0.0888601340527625</v>
      </c>
      <c r="R2" s="16" t="n">
        <v>0.06461822966677336</v>
      </c>
      <c r="S2" s="16" t="n">
        <v>0.04664424476682898</v>
      </c>
      <c r="T2" s="16" t="n">
        <v>0.106417956249178</v>
      </c>
      <c r="U2" s="16" t="n">
        <v>0.05543031504355043</v>
      </c>
      <c r="V2" s="16" t="n">
        <v>0.0682776864315827</v>
      </c>
    </row>
    <row r="3">
      <c r="A3" t="inlineStr">
        <is>
          <t>Activos</t>
        </is>
      </c>
      <c r="B3" t="inlineStr">
        <is>
          <t>Inversiones CP</t>
        </is>
      </c>
      <c r="C3" s="16" t="n">
        <v>0.003969197713610904</v>
      </c>
      <c r="D3" s="16" t="n">
        <v>1.234522178190931e-05</v>
      </c>
      <c r="E3" s="16" t="n">
        <v>0</v>
      </c>
      <c r="F3" s="16" t="n">
        <v>0</v>
      </c>
      <c r="G3" s="16" t="n">
        <v>0.0009953857338482032</v>
      </c>
      <c r="H3" s="16" t="n">
        <v>0.005376703179267967</v>
      </c>
      <c r="I3" s="16" t="n">
        <v>0.109269132031663</v>
      </c>
      <c r="J3" s="16" t="n">
        <v>0</v>
      </c>
      <c r="K3" s="16" t="n">
        <v>0</v>
      </c>
      <c r="L3" s="16" t="n">
        <v>0.02866145880273274</v>
      </c>
      <c r="M3" s="16" t="n">
        <v>0.3102212345767511</v>
      </c>
      <c r="N3" s="16" t="n">
        <v>0.1094977510180723</v>
      </c>
      <c r="O3" s="16" t="n">
        <v>0</v>
      </c>
      <c r="P3" s="16" t="n">
        <v>0.008031594966061982</v>
      </c>
      <c r="Q3" s="16" t="n">
        <v>0.1069376451402213</v>
      </c>
      <c r="R3" s="16" t="n">
        <v>0.0009335324869305452</v>
      </c>
      <c r="S3" s="16" t="n">
        <v>0.05426434415942975</v>
      </c>
      <c r="T3" s="16" t="n">
        <v>0</v>
      </c>
      <c r="U3" s="16" t="n">
        <v>0.09824927375320522</v>
      </c>
      <c r="V3" s="16" t="n">
        <v>0.03836178759989138</v>
      </c>
    </row>
    <row r="4">
      <c r="A4" t="inlineStr">
        <is>
          <t>Activos</t>
        </is>
      </c>
      <c r="B4" t="inlineStr">
        <is>
          <t>Cuentas por cobrar</t>
        </is>
      </c>
      <c r="C4" s="16" t="n">
        <v>0.04767137667194253</v>
      </c>
      <c r="D4" s="16" t="n">
        <v>0.05578497092700271</v>
      </c>
      <c r="E4" s="16" t="n">
        <v>0.07961156398948728</v>
      </c>
      <c r="F4" s="16" t="n">
        <v>0.05128647306339243</v>
      </c>
      <c r="G4" s="16" t="n">
        <v>0.05858859616295623</v>
      </c>
      <c r="H4" s="16" t="n">
        <v>0.1135452845311248</v>
      </c>
      <c r="I4" s="16" t="n">
        <v>0.1715562803693325</v>
      </c>
      <c r="J4" s="16" t="n">
        <v>0.105644819547247</v>
      </c>
      <c r="K4" s="16" t="n">
        <v>0.0906526759103836</v>
      </c>
      <c r="L4" s="16" t="n">
        <v>0.120349765089522</v>
      </c>
      <c r="M4" s="16" t="n">
        <v>0.2066737753245939</v>
      </c>
      <c r="N4" s="16" t="n">
        <v>0.01815739562690076</v>
      </c>
      <c r="O4" s="16" t="n">
        <v>0.0417611577396956</v>
      </c>
      <c r="P4" s="16" t="n">
        <v>0.08651175149158193</v>
      </c>
      <c r="Q4" s="16" t="n">
        <v>0.08827602004569303</v>
      </c>
      <c r="R4" s="16" t="n">
        <v>0.1579003520751094</v>
      </c>
      <c r="S4" s="16" t="n">
        <v>0.08623061091310677</v>
      </c>
      <c r="T4" s="16" t="n">
        <v>0.08603305422822323</v>
      </c>
      <c r="U4" s="16" t="n">
        <v>0.1131743603627037</v>
      </c>
      <c r="V4" s="16" t="n">
        <v>0.1108345943947858</v>
      </c>
    </row>
    <row r="5">
      <c r="A5" t="inlineStr">
        <is>
          <t>Activos</t>
        </is>
      </c>
      <c r="B5" t="inlineStr">
        <is>
          <t>Inventarios</t>
        </is>
      </c>
      <c r="C5" s="16" t="n">
        <v>0.01536013908593641</v>
      </c>
      <c r="D5" s="16" t="n">
        <v>0.02997111218103033</v>
      </c>
      <c r="E5" s="16" t="n">
        <v>0.05858167401665999</v>
      </c>
      <c r="F5" s="16" t="n">
        <v>0.1309063944264331</v>
      </c>
      <c r="G5" s="16" t="n">
        <v>0.05870482992751495</v>
      </c>
      <c r="H5" s="16" t="n">
        <v>0</v>
      </c>
      <c r="I5" s="16" t="n">
        <v>0.0545372459456689</v>
      </c>
      <c r="J5" s="16" t="n">
        <v>0.07427792642671431</v>
      </c>
      <c r="K5" s="16" t="n">
        <v>0</v>
      </c>
      <c r="L5" s="16" t="n">
        <v>0.0322037930930958</v>
      </c>
      <c r="M5" s="16" t="n">
        <v>0.09032177131029293</v>
      </c>
      <c r="N5" s="16" t="n">
        <v>0.05494988861509065</v>
      </c>
      <c r="O5" s="16" t="n">
        <v>0.01326771561499077</v>
      </c>
      <c r="P5" s="16" t="n">
        <v>0.1009082344984178</v>
      </c>
      <c r="Q5" s="16" t="n">
        <v>0.06486190250969805</v>
      </c>
      <c r="R5" s="16" t="n">
        <v>0.1221949571464135</v>
      </c>
      <c r="S5" s="16" t="n">
        <v>0.07123638371567692</v>
      </c>
      <c r="T5" s="16" t="n">
        <v>0.04864612102348282</v>
      </c>
      <c r="U5" s="16" t="n">
        <v>0.07426792521383006</v>
      </c>
      <c r="V5" s="16" t="n">
        <v>0.07908634677485081</v>
      </c>
    </row>
    <row r="6">
      <c r="A6" t="inlineStr">
        <is>
          <t>Activos</t>
        </is>
      </c>
      <c r="B6" t="inlineStr">
        <is>
          <t>Otros act. circulantes</t>
        </is>
      </c>
      <c r="C6" s="16" t="n">
        <v>0.00709371078982114</v>
      </c>
      <c r="D6" s="16" t="n">
        <v>0.01379269903583818</v>
      </c>
      <c r="E6" s="16" t="n">
        <v>0.02373156933493697</v>
      </c>
      <c r="F6" s="16" t="n">
        <v>0.137218045112782</v>
      </c>
      <c r="G6" s="16" t="n">
        <v>0.04545900606834456</v>
      </c>
      <c r="H6" s="16" t="n">
        <v>0.02364413572001069</v>
      </c>
      <c r="I6" s="16" t="n">
        <v>0.05712054674300256</v>
      </c>
      <c r="J6" s="16" t="n">
        <v>0.02598133740079159</v>
      </c>
      <c r="K6" s="16" t="n">
        <v>0.08478843304062313</v>
      </c>
      <c r="L6" s="16" t="n">
        <v>0.04788361322610699</v>
      </c>
      <c r="M6" s="16" t="n">
        <v>0.03379001980268994</v>
      </c>
      <c r="N6" s="16" t="n">
        <v>0.05115192334069593</v>
      </c>
      <c r="O6" s="16" t="n">
        <v>0.03495195567297127</v>
      </c>
      <c r="P6" s="16" t="n">
        <v>0.03642600062803449</v>
      </c>
      <c r="Q6" s="16" t="n">
        <v>0.03907997486109791</v>
      </c>
      <c r="R6" s="16" t="n">
        <v>0.1489384402005761</v>
      </c>
      <c r="S6" s="16" t="n">
        <v>0.02084734702073189</v>
      </c>
      <c r="T6" s="16" t="n">
        <v>0.07684888869405111</v>
      </c>
      <c r="U6" s="16" t="n">
        <v>0.04346450267426718</v>
      </c>
      <c r="V6" s="16" t="n">
        <v>0.07252479464740656</v>
      </c>
    </row>
    <row r="7">
      <c r="A7" t="inlineStr">
        <is>
          <t>Activos</t>
        </is>
      </c>
      <c r="B7" t="inlineStr">
        <is>
          <t>Total act. circulante</t>
        </is>
      </c>
      <c r="C7" s="16" t="n">
        <v>0.1273751629913317</v>
      </c>
      <c r="D7" s="16" t="n">
        <v>0.1189832475340419</v>
      </c>
      <c r="E7" s="16" t="n">
        <v>0.1857142857142857</v>
      </c>
      <c r="F7" s="16" t="n">
        <v>0.4002552252190109</v>
      </c>
      <c r="G7" s="16" t="n">
        <v>0.2080819803646676</v>
      </c>
      <c r="H7" s="16" t="n">
        <v>0.2086895538338231</v>
      </c>
      <c r="I7" s="16" t="n">
        <v>0.7945809420813135</v>
      </c>
      <c r="J7" s="16" t="n">
        <v>0.761255017664867</v>
      </c>
      <c r="K7" s="16" t="n">
        <v>0.2152258879801153</v>
      </c>
      <c r="L7" s="16" t="n">
        <v>0.4949378503900297</v>
      </c>
      <c r="M7" s="16" t="n">
        <v>0.7179684769849732</v>
      </c>
      <c r="N7" s="16" t="n">
        <v>0.3012264164329397</v>
      </c>
      <c r="O7" s="16" t="n">
        <v>0.1845381432211909</v>
      </c>
      <c r="P7" s="16" t="n">
        <v>0.3483296697987874</v>
      </c>
      <c r="Q7" s="16" t="n">
        <v>0.3880156766094728</v>
      </c>
      <c r="R7" s="16" t="n">
        <v>0.4945855115758028</v>
      </c>
      <c r="S7" s="16" t="n">
        <v>0.2792229305757743</v>
      </c>
      <c r="T7" s="16" t="n">
        <v>0.3179460201949352</v>
      </c>
      <c r="U7" s="16" t="n">
        <v>0.3845863770475565</v>
      </c>
      <c r="V7" s="16" t="n">
        <v>0.3690852098485172</v>
      </c>
    </row>
    <row r="8">
      <c r="A8" t="inlineStr">
        <is>
          <t>Activos</t>
        </is>
      </c>
      <c r="B8" t="inlineStr">
        <is>
          <t>Inversiones LP</t>
        </is>
      </c>
      <c r="C8" s="16" t="n">
        <v>0.01018542057914203</v>
      </c>
      <c r="D8" s="16" t="n">
        <v>0.002561633519746182</v>
      </c>
      <c r="E8" s="16" t="n">
        <v>0.0006035903603723997</v>
      </c>
      <c r="F8" s="16" t="n">
        <v>0</v>
      </c>
      <c r="G8" s="16" t="n">
        <v>0.003337661114815153</v>
      </c>
      <c r="H8" s="16" t="n">
        <v>0.003606732567459257</v>
      </c>
      <c r="I8" s="16" t="n">
        <v>0.005430344743391736</v>
      </c>
      <c r="J8" s="16" t="n">
        <v>0.00753245072094395</v>
      </c>
      <c r="K8" s="16" t="n">
        <v>0</v>
      </c>
      <c r="L8" s="16" t="n">
        <v>0.004142382007948735</v>
      </c>
      <c r="M8" s="16" t="n">
        <v>0.03034919041944069</v>
      </c>
      <c r="N8" s="16" t="n">
        <v>0.04025937785261246</v>
      </c>
      <c r="O8" s="16" t="n">
        <v>0</v>
      </c>
      <c r="P8" s="16" t="n">
        <v>0.01967438827024807</v>
      </c>
      <c r="Q8" s="16" t="n">
        <v>0.0225707391355753</v>
      </c>
      <c r="R8" s="16" t="n">
        <v>0.01346064938297948</v>
      </c>
      <c r="S8" s="16" t="n">
        <v>0.003338185834044476</v>
      </c>
      <c r="T8" s="16" t="n">
        <v>0.01305656627650403</v>
      </c>
      <c r="U8" s="16" t="n">
        <v>0.005431853176945686</v>
      </c>
      <c r="V8" s="16" t="n">
        <v>0.008821813667618417</v>
      </c>
    </row>
    <row r="9">
      <c r="A9" t="inlineStr">
        <is>
          <t>Activos</t>
        </is>
      </c>
      <c r="B9" t="inlineStr">
        <is>
          <t>PP&amp;E neto</t>
        </is>
      </c>
      <c r="C9" s="16" t="n">
        <v>0.77242719720516</v>
      </c>
      <c r="D9" s="16" t="n">
        <v>0.6968353023962075</v>
      </c>
      <c r="E9" s="16" t="n">
        <v>0.6828745155686222</v>
      </c>
      <c r="F9" s="16" t="n">
        <v>0.4947402910947092</v>
      </c>
      <c r="G9" s="16" t="n">
        <v>0.6617193265661747</v>
      </c>
      <c r="H9" s="16" t="n">
        <v>0.02748463799091638</v>
      </c>
      <c r="I9" s="16" t="n">
        <v>0.005557033592124099</v>
      </c>
      <c r="J9" s="16" t="n">
        <v>0.2185802893545515</v>
      </c>
      <c r="K9" s="16" t="n">
        <v>0.03224811137697536</v>
      </c>
      <c r="L9" s="16" t="n">
        <v>0.07096751807864184</v>
      </c>
      <c r="M9" s="16" t="n">
        <v>0.07236494296646087</v>
      </c>
      <c r="N9" s="16" t="n">
        <v>0.5005699312771663</v>
      </c>
      <c r="O9" s="16" t="n">
        <v>0.02249082365043369</v>
      </c>
      <c r="P9" s="16" t="n">
        <v>0.5715838546824803</v>
      </c>
      <c r="Q9" s="16" t="n">
        <v>0.2917523881441353</v>
      </c>
      <c r="R9" s="16" t="n">
        <v>0.2305825242718447</v>
      </c>
      <c r="S9" s="16" t="n">
        <v>0.1228301792078711</v>
      </c>
      <c r="T9" s="16" t="n">
        <v>0.1959800096444698</v>
      </c>
      <c r="U9" s="16" t="n">
        <v>0.2277390202255494</v>
      </c>
      <c r="V9" s="16" t="n">
        <v>0.1942829333374337</v>
      </c>
    </row>
    <row r="10">
      <c r="A10" t="inlineStr">
        <is>
          <t>Activos</t>
        </is>
      </c>
      <c r="B10" t="inlineStr">
        <is>
          <t>Intangibles</t>
        </is>
      </c>
      <c r="C10" s="16" t="n">
        <v>0</v>
      </c>
      <c r="D10" s="16" t="n">
        <v>0.01409824327494043</v>
      </c>
      <c r="E10" s="16" t="n">
        <v>0</v>
      </c>
      <c r="F10" s="16" t="n">
        <v>0.006604814789266744</v>
      </c>
      <c r="G10" s="16" t="n">
        <v>0.005175764516051794</v>
      </c>
      <c r="H10" s="16" t="n">
        <v>0.7206118087095912</v>
      </c>
      <c r="I10" s="16" t="n">
        <v>0.03133821430915995</v>
      </c>
      <c r="J10" s="16" t="n">
        <v>0.00765701459473388</v>
      </c>
      <c r="K10" s="16" t="n">
        <v>0.7362608859733284</v>
      </c>
      <c r="L10" s="16" t="n">
        <v>0.3739669808967033</v>
      </c>
      <c r="M10" s="16" t="n">
        <v>0.05371815664734187</v>
      </c>
      <c r="N10" s="16" t="n">
        <v>0.1262078522813805</v>
      </c>
      <c r="O10" s="16" t="n">
        <v>0.7602576391648938</v>
      </c>
      <c r="P10" s="16" t="n">
        <v>0.01936037102345467</v>
      </c>
      <c r="Q10" s="16" t="n">
        <v>0.2398860047792677</v>
      </c>
      <c r="R10" s="16" t="n">
        <v>0.110414666239909</v>
      </c>
      <c r="S10" s="16" t="n">
        <v>0.4978414738215953</v>
      </c>
      <c r="T10" s="16" t="n">
        <v>0.3526076600470533</v>
      </c>
      <c r="U10" s="16" t="n">
        <v>0.2662582076725556</v>
      </c>
      <c r="V10" s="16" t="n">
        <v>0.3067805019452783</v>
      </c>
    </row>
    <row r="11">
      <c r="A11" t="inlineStr">
        <is>
          <t>Activos</t>
        </is>
      </c>
      <c r="B11" t="inlineStr">
        <is>
          <t>Otros act. no circulantes</t>
        </is>
      </c>
      <c r="C11" s="16" t="n">
        <v>0.09001221922436628</v>
      </c>
      <c r="D11" s="16" t="n">
        <v>0.1675215732750639</v>
      </c>
      <c r="E11" s="16" t="n">
        <v>0.1308076083567197</v>
      </c>
      <c r="F11" s="16" t="n">
        <v>0.09839966889701318</v>
      </c>
      <c r="G11" s="16" t="n">
        <v>0.1216852674382908</v>
      </c>
      <c r="H11" s="16" t="n">
        <v>0.03960726689820999</v>
      </c>
      <c r="I11" s="16" t="n">
        <v>0.1630934652740107</v>
      </c>
      <c r="J11" s="16" t="n">
        <v>0.004975227664903641</v>
      </c>
      <c r="K11" s="16" t="n">
        <v>0.01626511466958092</v>
      </c>
      <c r="L11" s="16" t="n">
        <v>0.05598526862667631</v>
      </c>
      <c r="M11" s="16" t="n">
        <v>0.1255992329817833</v>
      </c>
      <c r="N11" s="16" t="n">
        <v>0.03173642215590104</v>
      </c>
      <c r="O11" s="16" t="n">
        <v>0.03271339396348164</v>
      </c>
      <c r="P11" s="16" t="n">
        <v>0.04105171622502959</v>
      </c>
      <c r="Q11" s="16" t="n">
        <v>0.0577751913315489</v>
      </c>
      <c r="R11" s="16" t="n">
        <v>0.1509566485294641</v>
      </c>
      <c r="S11" s="16" t="n">
        <v>0.09676723056071482</v>
      </c>
      <c r="T11" s="16" t="n">
        <v>0.1204097438370377</v>
      </c>
      <c r="U11" s="16" t="n">
        <v>0.1159845418773928</v>
      </c>
      <c r="V11" s="16" t="n">
        <v>0.1210295412011524</v>
      </c>
    </row>
    <row r="12">
      <c r="A12" t="inlineStr">
        <is>
          <t>Activos</t>
        </is>
      </c>
      <c r="B12" t="inlineStr">
        <is>
          <t>Total act. no circulante</t>
        </is>
      </c>
      <c r="C12" s="16" t="n">
        <v>0.8726248370086682</v>
      </c>
      <c r="D12" s="16" t="n">
        <v>0.881016752465958</v>
      </c>
      <c r="E12" s="16" t="n">
        <v>0.8142857142857143</v>
      </c>
      <c r="F12" s="16" t="n">
        <v>0.5997447747809892</v>
      </c>
      <c r="G12" s="16" t="n">
        <v>0.7919180196353324</v>
      </c>
      <c r="H12" s="16" t="n">
        <v>0.7913104461661769</v>
      </c>
      <c r="I12" s="16" t="n">
        <v>0.2054190579186865</v>
      </c>
      <c r="J12" s="16" t="n">
        <v>0.238744982335133</v>
      </c>
      <c r="K12" s="16" t="n">
        <v>0.7847741120198847</v>
      </c>
      <c r="L12" s="16" t="n">
        <v>0.5050621496099703</v>
      </c>
      <c r="M12" s="16" t="n">
        <v>0.2820315230150268</v>
      </c>
      <c r="N12" s="16" t="n">
        <v>0.6987735835670603</v>
      </c>
      <c r="O12" s="16" t="n">
        <v>0.8154618567788091</v>
      </c>
      <c r="P12" s="16" t="n">
        <v>0.6516703302012126</v>
      </c>
      <c r="Q12" s="16" t="n">
        <v>0.6119843233905271</v>
      </c>
      <c r="R12" s="16" t="n">
        <v>0.5054144884241971</v>
      </c>
      <c r="S12" s="16" t="n">
        <v>0.7207770694242257</v>
      </c>
      <c r="T12" s="16" t="n">
        <v>0.6820539798050648</v>
      </c>
      <c r="U12" s="16" t="n">
        <v>0.6154136229524435</v>
      </c>
      <c r="V12" s="16" t="n">
        <v>0.6309147901514828</v>
      </c>
    </row>
    <row r="13">
      <c r="A13" t="inlineStr">
        <is>
          <t>Activos</t>
        </is>
      </c>
      <c r="B13" t="inlineStr">
        <is>
          <t>Total activos</t>
        </is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s="16" t="n">
        <v>1</v>
      </c>
      <c r="V13" s="16" t="n">
        <v>1</v>
      </c>
    </row>
    <row r="14">
      <c r="A14" t="inlineStr">
        <is>
          <t>Pasivos</t>
        </is>
      </c>
      <c r="B14" t="inlineStr">
        <is>
          <t>Cuentas por pagar</t>
        </is>
      </c>
      <c r="C14" s="16" t="n">
        <v>0.05099270946948884</v>
      </c>
      <c r="D14" s="16" t="n">
        <v>0.05950396898880288</v>
      </c>
      <c r="E14" s="16" t="n">
        <v>0.08029088155374405</v>
      </c>
      <c r="F14" s="16" t="n">
        <v>0.1748465199696489</v>
      </c>
      <c r="G14" s="16" t="n">
        <v>0.09140851999542117</v>
      </c>
      <c r="H14" s="16" t="n">
        <v>0.02604862409831686</v>
      </c>
      <c r="I14" s="16" t="n">
        <v>0.06383620744262435</v>
      </c>
      <c r="J14" s="16" t="n">
        <v>0.05850105696110555</v>
      </c>
      <c r="K14" s="16" t="n">
        <v>0.01180838843033622</v>
      </c>
      <c r="L14" s="16" t="n">
        <v>0.04004856923309574</v>
      </c>
      <c r="M14" s="16" t="n">
        <v>0.05654071200078852</v>
      </c>
      <c r="N14" s="16" t="n">
        <v>0.04673909444778152</v>
      </c>
      <c r="O14" s="16" t="n">
        <v>0.009117901479905547</v>
      </c>
      <c r="P14" s="16" t="n">
        <v>0.04154689726804995</v>
      </c>
      <c r="Q14" s="16" t="n">
        <v>0.03848615129913138</v>
      </c>
      <c r="R14" s="16" t="n">
        <v>0.04782353568761336</v>
      </c>
      <c r="S14" s="16" t="n">
        <v>0.06019276140755986</v>
      </c>
      <c r="T14" s="16" t="n">
        <v>0.03217745824382973</v>
      </c>
      <c r="U14" s="16" t="n">
        <v>0.04207420317412513</v>
      </c>
      <c r="V14" s="16" t="n">
        <v>0.04556698962828202</v>
      </c>
    </row>
    <row r="15">
      <c r="A15" t="inlineStr">
        <is>
          <t>Pasivos</t>
        </is>
      </c>
      <c r="B15" t="inlineStr">
        <is>
          <t>Deuda CP</t>
        </is>
      </c>
      <c r="C15" s="16" t="n">
        <v>0.00836483815678331</v>
      </c>
      <c r="D15" s="16" t="n">
        <v>0.003015320420231349</v>
      </c>
      <c r="E15" s="16" t="n">
        <v>0.02072029934518241</v>
      </c>
      <c r="F15" s="16" t="n">
        <v>0.01636545492170794</v>
      </c>
      <c r="G15" s="16" t="n">
        <v>0.01211647821097625</v>
      </c>
      <c r="H15" s="16" t="n">
        <v>0.06164841036601656</v>
      </c>
      <c r="I15" s="16" t="n">
        <v>0.001247309301610446</v>
      </c>
      <c r="J15" s="16" t="n">
        <v>0.01392306593214688</v>
      </c>
      <c r="K15" s="16" t="n">
        <v>0.03256096114332145</v>
      </c>
      <c r="L15" s="16" t="n">
        <v>0.02734493668577384</v>
      </c>
      <c r="M15" s="16" t="n">
        <v>0</v>
      </c>
      <c r="N15" s="16" t="n">
        <v>0.01227362376968155</v>
      </c>
      <c r="O15" s="16" t="n">
        <v>0.01842283683632198</v>
      </c>
      <c r="P15" s="16" t="n">
        <v>0.006763448392473248</v>
      </c>
      <c r="Q15" s="16" t="n">
        <v>0.009364977249619193</v>
      </c>
      <c r="R15" s="16" t="n">
        <v>0.01453643443934706</v>
      </c>
      <c r="S15" s="16" t="n">
        <v>0.04264344159429748</v>
      </c>
      <c r="T15" s="16" t="n">
        <v>0.01891631230546666</v>
      </c>
      <c r="U15" s="16" t="n">
        <v>0.0448546448206092</v>
      </c>
      <c r="V15" s="16" t="n">
        <v>0.0302377082899301</v>
      </c>
    </row>
    <row r="16">
      <c r="A16" t="inlineStr">
        <is>
          <t>Pasivos</t>
        </is>
      </c>
      <c r="B16" t="inlineStr">
        <is>
          <t>Otros pas. circulantes</t>
        </is>
      </c>
      <c r="C16" s="16" t="n">
        <v>0.03882269003354136</v>
      </c>
      <c r="D16" s="16" t="n">
        <v>0.04052319049911732</v>
      </c>
      <c r="E16" s="16" t="n">
        <v>0.06008730901153726</v>
      </c>
      <c r="F16" s="16" t="n">
        <v>0.05209698558322411</v>
      </c>
      <c r="G16" s="16" t="n">
        <v>0.04788254378185501</v>
      </c>
      <c r="H16" s="16" t="n">
        <v>0.1907560780122896</v>
      </c>
      <c r="I16" s="16" t="n">
        <v>0.08696498435392717</v>
      </c>
      <c r="J16" s="16" t="n">
        <v>0.1509152391687437</v>
      </c>
      <c r="K16" s="16" t="n">
        <v>0.1520794060648601</v>
      </c>
      <c r="L16" s="16" t="n">
        <v>0.1451789268999552</v>
      </c>
      <c r="M16" s="16" t="n">
        <v>0.1051693085187409</v>
      </c>
      <c r="N16" s="16" t="n">
        <v>0.09032819528068524</v>
      </c>
      <c r="O16" s="16" t="n">
        <v>0.08067004886260024</v>
      </c>
      <c r="P16" s="16" t="n">
        <v>0.09002632913838499</v>
      </c>
      <c r="Q16" s="16" t="n">
        <v>0.09154847045010282</v>
      </c>
      <c r="R16" s="16" t="n">
        <v>0.2508446246310324</v>
      </c>
      <c r="S16" s="16" t="n">
        <v>0.1688670247477536</v>
      </c>
      <c r="T16" s="16" t="n">
        <v>0.1558750895036021</v>
      </c>
      <c r="U16" s="16" t="n">
        <v>0.1911264100965752</v>
      </c>
      <c r="V16" s="16" t="n">
        <v>0.1916782872447408</v>
      </c>
    </row>
    <row r="17">
      <c r="A17" t="inlineStr">
        <is>
          <t>Pasivos</t>
        </is>
      </c>
      <c r="B17" t="inlineStr">
        <is>
          <t>Total pas. circulante</t>
        </is>
      </c>
      <c r="C17" s="16" t="n">
        <v>0.09818023765981351</v>
      </c>
      <c r="D17" s="16" t="n">
        <v>0.1030424799081515</v>
      </c>
      <c r="E17" s="16" t="n">
        <v>0.1610984899104637</v>
      </c>
      <c r="F17" s="16" t="n">
        <v>0.2433089604745809</v>
      </c>
      <c r="G17" s="16" t="n">
        <v>0.1514075419882524</v>
      </c>
      <c r="H17" s="16" t="n">
        <v>0.278453112476623</v>
      </c>
      <c r="I17" s="16" t="n">
        <v>0.152048501098162</v>
      </c>
      <c r="J17" s="16" t="n">
        <v>0.2233393620619962</v>
      </c>
      <c r="K17" s="16" t="n">
        <v>0.1964487556385177</v>
      </c>
      <c r="L17" s="16" t="n">
        <v>0.2125724328188247</v>
      </c>
      <c r="M17" s="16" t="n">
        <v>0.1617100205195294</v>
      </c>
      <c r="N17" s="16" t="n">
        <v>0.1493409134981483</v>
      </c>
      <c r="O17" s="16" t="n">
        <v>0.1082107871788278</v>
      </c>
      <c r="P17" s="16" t="n">
        <v>0.1383366747989082</v>
      </c>
      <c r="Q17" s="16" t="n">
        <v>0.1393995989988534</v>
      </c>
      <c r="R17" s="16" t="n">
        <v>0.3132045947579928</v>
      </c>
      <c r="S17" s="16" t="n">
        <v>0.271703227749611</v>
      </c>
      <c r="T17" s="16" t="n">
        <v>0.2069688600528985</v>
      </c>
      <c r="U17" s="16" t="n">
        <v>0.2780552580913095</v>
      </c>
      <c r="V17" s="16" t="n">
        <v>0.267482985162953</v>
      </c>
    </row>
    <row r="18">
      <c r="A18" t="inlineStr">
        <is>
          <t>Pasivos</t>
        </is>
      </c>
      <c r="B18" t="inlineStr">
        <is>
          <t>Deuda LP</t>
        </is>
      </c>
      <c r="C18" s="16" t="n">
        <v>0.1838952263016754</v>
      </c>
      <c r="D18" s="16" t="n">
        <v>0.1227763169265336</v>
      </c>
      <c r="E18" s="16" t="n">
        <v>0.07650674863022852</v>
      </c>
      <c r="F18" s="16" t="n">
        <v>0.1667586397185625</v>
      </c>
      <c r="G18" s="16" t="n">
        <v>0.13748423289425</v>
      </c>
      <c r="H18" s="16" t="n">
        <v>0.4707453913972749</v>
      </c>
      <c r="I18" s="16" t="n">
        <v>0.004184187158587949</v>
      </c>
      <c r="J18" s="16" t="n">
        <v>0.2213035975756451</v>
      </c>
      <c r="K18" s="16" t="n">
        <v>0.1765615905306706</v>
      </c>
      <c r="L18" s="16" t="n">
        <v>0.2181986916655446</v>
      </c>
      <c r="M18" s="16" t="n">
        <v>0.07583265382926677</v>
      </c>
      <c r="N18" s="16" t="n">
        <v>0.208689441845726</v>
      </c>
      <c r="O18" s="16" t="n">
        <v>0.3622846188015804</v>
      </c>
      <c r="P18" s="16" t="n">
        <v>0.1692915287808884</v>
      </c>
      <c r="Q18" s="16" t="n">
        <v>0.2040245608143654</v>
      </c>
      <c r="R18" s="16" t="n">
        <v>0.3633486254845478</v>
      </c>
      <c r="S18" s="16" t="n">
        <v>0.197971989357964</v>
      </c>
      <c r="T18" s="16" t="n">
        <v>0.3415749711396548</v>
      </c>
      <c r="U18" s="16" t="n">
        <v>0.2847383100091729</v>
      </c>
      <c r="V18" s="16" t="n">
        <v>0.2969084739978349</v>
      </c>
    </row>
    <row r="19">
      <c r="A19" t="inlineStr">
        <is>
          <t>Pasivos</t>
        </is>
      </c>
      <c r="B19" t="inlineStr">
        <is>
          <t>Otros pas. no circulantes</t>
        </is>
      </c>
      <c r="C19" s="16" t="n">
        <v>0.1890781456301922</v>
      </c>
      <c r="D19" s="16" t="n">
        <v>0.1810673678752639</v>
      </c>
      <c r="E19" s="16" t="n">
        <v>0.1685464831395608</v>
      </c>
      <c r="F19" s="16" t="n">
        <v>0.131130578740429</v>
      </c>
      <c r="G19" s="16" t="n">
        <v>0.1674556438463615</v>
      </c>
      <c r="H19" s="16" t="n">
        <v>0.02938819129040876</v>
      </c>
      <c r="I19" s="16" t="n">
        <v>0.0003558804932572743</v>
      </c>
      <c r="J19" s="16" t="n">
        <v>0.01922313664046346</v>
      </c>
      <c r="K19" s="16" t="n">
        <v>0.06193073174269612</v>
      </c>
      <c r="L19" s="16" t="n">
        <v>0.0277244850417064</v>
      </c>
      <c r="M19" s="16" t="n">
        <v>0.05164828272148099</v>
      </c>
      <c r="N19" s="16" t="n">
        <v>0.04432220745498489</v>
      </c>
      <c r="O19" s="16" t="n">
        <v>0.05436840997825731</v>
      </c>
      <c r="P19" s="16" t="n">
        <v>0.03818932824464359</v>
      </c>
      <c r="Q19" s="16" t="n">
        <v>0.0471320570998417</v>
      </c>
      <c r="R19" s="16" t="n">
        <v>0.08752978413172588</v>
      </c>
      <c r="S19" s="16" t="n">
        <v>0.1209879022137443</v>
      </c>
      <c r="T19" s="16" t="n">
        <v>0.06668566334955357</v>
      </c>
      <c r="U19" s="16" t="n">
        <v>0.06105075674982895</v>
      </c>
      <c r="V19" s="16" t="n">
        <v>0.08406352661121318</v>
      </c>
    </row>
    <row r="20">
      <c r="A20" t="inlineStr">
        <is>
          <t>Pasivos</t>
        </is>
      </c>
      <c r="B20" t="inlineStr">
        <is>
          <t>Total pas. no circulante</t>
        </is>
      </c>
      <c r="C20" s="16" t="n">
        <v>0.3729733719318676</v>
      </c>
      <c r="D20" s="16" t="n">
        <v>0.3038436848017975</v>
      </c>
      <c r="E20" s="16" t="n">
        <v>0.2450532317697893</v>
      </c>
      <c r="F20" s="16" t="n">
        <v>0.2978892184589915</v>
      </c>
      <c r="G20" s="16" t="n">
        <v>0.3049398767406115</v>
      </c>
      <c r="H20" s="16" t="n">
        <v>0.5001335826876837</v>
      </c>
      <c r="I20" s="16" t="n">
        <v>0.004540067651845223</v>
      </c>
      <c r="J20" s="16" t="n">
        <v>0.2405267342161085</v>
      </c>
      <c r="K20" s="16" t="n">
        <v>0.2384923222733668</v>
      </c>
      <c r="L20" s="16" t="n">
        <v>0.2459231767072511</v>
      </c>
      <c r="M20" s="16" t="n">
        <v>0.1274809365507477</v>
      </c>
      <c r="N20" s="16" t="n">
        <v>0.2530116493007109</v>
      </c>
      <c r="O20" s="16" t="n">
        <v>0.4166530287798377</v>
      </c>
      <c r="P20" s="16" t="n">
        <v>0.207480857025532</v>
      </c>
      <c r="Q20" s="16" t="n">
        <v>0.2511566179142071</v>
      </c>
      <c r="R20" s="16" t="n">
        <v>0.4508784096162737</v>
      </c>
      <c r="S20" s="16" t="n">
        <v>0.3189598915717082</v>
      </c>
      <c r="T20" s="16" t="n">
        <v>0.4082606344892084</v>
      </c>
      <c r="U20" s="16" t="n">
        <v>0.3457890667590019</v>
      </c>
      <c r="V20" s="16" t="n">
        <v>0.380972000609048</v>
      </c>
    </row>
    <row r="21">
      <c r="A21" t="inlineStr">
        <is>
          <t>Pasivos</t>
        </is>
      </c>
      <c r="B21" t="inlineStr">
        <is>
          <t>Total pasivos</t>
        </is>
      </c>
      <c r="C21" s="16" t="n">
        <v>0.4711536095916811</v>
      </c>
      <c r="D21" s="16" t="n">
        <v>0.406886164709949</v>
      </c>
      <c r="E21" s="16" t="n">
        <v>0.406151721680253</v>
      </c>
      <c r="F21" s="16" t="n">
        <v>0.5411981789335725</v>
      </c>
      <c r="G21" s="16" t="n">
        <v>0.4563474187288639</v>
      </c>
      <c r="H21" s="16" t="n">
        <v>0.7785866951643067</v>
      </c>
      <c r="I21" s="16" t="n">
        <v>0.1565885687500072</v>
      </c>
      <c r="J21" s="16" t="n">
        <v>0.4638660962781047</v>
      </c>
      <c r="K21" s="16" t="n">
        <v>0.4349410779118845</v>
      </c>
      <c r="L21" s="16" t="n">
        <v>0.4584956095260758</v>
      </c>
      <c r="M21" s="16" t="n">
        <v>0.2891909570702771</v>
      </c>
      <c r="N21" s="16" t="n">
        <v>0.4023525627988592</v>
      </c>
      <c r="O21" s="16" t="n">
        <v>0.5248638159586655</v>
      </c>
      <c r="P21" s="16" t="n">
        <v>0.3458175318244402</v>
      </c>
      <c r="Q21" s="16" t="n">
        <v>0.3905562169130605</v>
      </c>
      <c r="R21" s="16" t="n">
        <v>0.7640830043742665</v>
      </c>
      <c r="S21" s="16" t="n">
        <v>0.5906631193213192</v>
      </c>
      <c r="T21" s="16" t="n">
        <v>0.6152294945421068</v>
      </c>
      <c r="U21" s="16" t="n">
        <v>0.6238443248503113</v>
      </c>
      <c r="V21" s="16" t="n">
        <v>0.648454985772001</v>
      </c>
    </row>
    <row r="22">
      <c r="A22" t="inlineStr">
        <is>
          <t>Capital</t>
        </is>
      </c>
      <c r="B22" t="inlineStr">
        <is>
          <t>Capital común</t>
        </is>
      </c>
      <c r="C22" s="16" t="n">
        <v>0.5288463904083189</v>
      </c>
      <c r="D22" s="16" t="n">
        <v>0.5754416503092478</v>
      </c>
      <c r="E22" s="16" t="n">
        <v>0.5777228384337832</v>
      </c>
      <c r="F22" s="16" t="n">
        <v>0.4091363730426985</v>
      </c>
      <c r="G22" s="16" t="n">
        <v>0.5227868130485122</v>
      </c>
      <c r="H22" s="16" t="n">
        <v>0.2171720545017366</v>
      </c>
      <c r="I22" s="16" t="n">
        <v>0.8434125829667994</v>
      </c>
      <c r="J22" s="16" t="n">
        <v>0.5361339037218953</v>
      </c>
      <c r="K22" s="16" t="n">
        <v>0.5650583074520322</v>
      </c>
      <c r="L22" s="16" t="n">
        <v>0.5404442121606159</v>
      </c>
      <c r="M22" s="16" t="n">
        <v>0.7108090429297228</v>
      </c>
      <c r="N22" s="16" t="n">
        <v>0.5405171476003765</v>
      </c>
      <c r="O22" s="16" t="n">
        <v>0.4751361840413345</v>
      </c>
      <c r="P22" s="16" t="n">
        <v>0.6541824681755598</v>
      </c>
      <c r="Q22" s="16" t="n">
        <v>0.5951612106867484</v>
      </c>
      <c r="R22" s="16" t="n">
        <v>0.2359169956257335</v>
      </c>
      <c r="S22" s="16" t="n">
        <v>0.4093368806786808</v>
      </c>
      <c r="T22" s="16" t="n">
        <v>0.3843613461341751</v>
      </c>
      <c r="U22" s="16" t="n">
        <v>0.3356602813281385</v>
      </c>
      <c r="V22" s="16" t="n">
        <v>0.3413188759416819</v>
      </c>
    </row>
    <row r="23">
      <c r="A23" t="inlineStr">
        <is>
          <t>Capital</t>
        </is>
      </c>
      <c r="B23" t="inlineStr">
        <is>
          <t>Otro capital</t>
        </is>
      </c>
      <c r="C23" s="16" t="n">
        <v>0</v>
      </c>
      <c r="D23" s="16" t="n">
        <v>0.01767218498080318</v>
      </c>
      <c r="E23" s="16" t="n">
        <v>0.01612543988596374</v>
      </c>
      <c r="F23" s="16" t="n">
        <v>0.04966544802372905</v>
      </c>
      <c r="G23" s="16" t="n">
        <v>0.02086576822262399</v>
      </c>
      <c r="H23" s="16" t="n">
        <v>0.004241250333956719</v>
      </c>
      <c r="I23" s="16" t="n">
        <v>0</v>
      </c>
      <c r="J23" s="16" t="n">
        <v>0</v>
      </c>
      <c r="K23" s="16" t="n">
        <v>0</v>
      </c>
      <c r="L23" s="16" t="n">
        <v>0.00106031258348918</v>
      </c>
      <c r="M23" s="16" t="n">
        <v>0</v>
      </c>
      <c r="N23" s="16" t="n">
        <v>0.05713028960076432</v>
      </c>
      <c r="O23" s="16" t="n">
        <v>0</v>
      </c>
      <c r="P23" s="16" t="n">
        <v>0</v>
      </c>
      <c r="Q23" s="16" t="n">
        <v>0.01428257240019108</v>
      </c>
      <c r="R23" s="16" t="n">
        <v>0</v>
      </c>
      <c r="S23" s="16" t="n">
        <v>0</v>
      </c>
      <c r="T23" s="16" t="n">
        <v>0.0004091593237180892</v>
      </c>
      <c r="U23" s="16" t="n">
        <v>0.04049531514465025</v>
      </c>
      <c r="V23" s="16" t="n">
        <v>0.01022611861709208</v>
      </c>
    </row>
    <row r="24">
      <c r="A24" t="inlineStr">
        <is>
          <t>Capital</t>
        </is>
      </c>
      <c r="B24" t="inlineStr">
        <is>
          <t>Total capital</t>
        </is>
      </c>
      <c r="C24" s="16" t="n">
        <v>0.5288463904083189</v>
      </c>
      <c r="D24" s="16" t="n">
        <v>0.593113835290051</v>
      </c>
      <c r="E24" s="16" t="n">
        <v>0.593848278319747</v>
      </c>
      <c r="F24" s="16" t="n">
        <v>0.4588018210664275</v>
      </c>
      <c r="G24" s="16" t="n">
        <v>0.5436525812711361</v>
      </c>
      <c r="H24" s="16" t="n">
        <v>0.2214133048356933</v>
      </c>
      <c r="I24" s="16" t="n">
        <v>0.8434125829667994</v>
      </c>
      <c r="J24" s="16" t="n">
        <v>0.5361339037218953</v>
      </c>
      <c r="K24" s="16" t="n">
        <v>0.5650583074520322</v>
      </c>
      <c r="L24" s="16" t="n">
        <v>0.541504524744105</v>
      </c>
      <c r="M24" s="16" t="n">
        <v>0.7108090429297228</v>
      </c>
      <c r="N24" s="16" t="n">
        <v>0.5976474372011408</v>
      </c>
      <c r="O24" s="16" t="n">
        <v>0.4751361840413345</v>
      </c>
      <c r="P24" s="16" t="n">
        <v>0.6541824681755598</v>
      </c>
      <c r="Q24" s="16" t="n">
        <v>0.6094437830869395</v>
      </c>
      <c r="R24" s="16" t="n">
        <v>0.2359169956257335</v>
      </c>
      <c r="S24" s="16" t="n">
        <v>0.4093368806786808</v>
      </c>
      <c r="T24" s="16" t="n">
        <v>0.3847705054578931</v>
      </c>
      <c r="U24" s="16" t="n">
        <v>0.3761555964727887</v>
      </c>
      <c r="V24" s="16" t="n">
        <v>0.351544994558774</v>
      </c>
    </row>
    <row r="25">
      <c r="A25" t="inlineStr">
        <is>
          <t>Capital</t>
        </is>
      </c>
      <c r="B25" t="inlineStr">
        <is>
          <t>Pasivo + Capital</t>
        </is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1.000001151716807</v>
      </c>
      <c r="J25" s="16" t="n">
        <v>1</v>
      </c>
      <c r="K25" s="16" t="n">
        <v>0.9999993853639166</v>
      </c>
      <c r="L25" s="16" t="n">
        <v>1.000000134270181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0.9999999213231</v>
      </c>
      <c r="V25" s="16" t="n">
        <v>0.999999980330775</v>
      </c>
    </row>
    <row r="26">
      <c r="A26" t="inlineStr">
        <is>
          <t>Ingresos</t>
        </is>
      </c>
      <c r="B26" t="inlineStr">
        <is>
          <t>Ingresos</t>
        </is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16" t="n">
        <v>1</v>
      </c>
      <c r="V26" s="16" t="n">
        <v>1</v>
      </c>
    </row>
    <row r="27">
      <c r="A27" t="inlineStr">
        <is>
          <t>Ingresos</t>
        </is>
      </c>
      <c r="B27" t="inlineStr">
        <is>
          <t>Costo de ventas</t>
        </is>
      </c>
      <c r="C27" s="16" t="n">
        <v>0.7454872421281216</v>
      </c>
      <c r="D27" s="16" t="n">
        <v>0.6918159538474885</v>
      </c>
      <c r="E27" s="16" t="n">
        <v>0.7743319800558806</v>
      </c>
      <c r="F27" s="16" t="n">
        <v>0.9537023463571533</v>
      </c>
      <c r="G27" s="16" t="n">
        <v>0.791334380597161</v>
      </c>
      <c r="H27" s="16" t="n">
        <v>0.7372164316370325</v>
      </c>
      <c r="I27" s="16" t="n">
        <v>0.1085606505882466</v>
      </c>
      <c r="J27" s="16" t="n">
        <v>0.1251237593650045</v>
      </c>
      <c r="K27" s="16" t="n">
        <v>0.7827504381106584</v>
      </c>
      <c r="L27" s="16" t="n">
        <v>0.4384128199252355</v>
      </c>
      <c r="M27" s="16" t="n">
        <v>0.2501130294183008</v>
      </c>
      <c r="N27" s="16" t="n">
        <v>0.6523376156509564</v>
      </c>
      <c r="O27" s="16" t="n">
        <v>0.3529356520105812</v>
      </c>
      <c r="P27" s="16" t="n">
        <v>0.6020921397613569</v>
      </c>
      <c r="Q27" s="16" t="n">
        <v>0.4643696092102988</v>
      </c>
      <c r="R27" s="16" t="n">
        <v>0.1695638165666856</v>
      </c>
      <c r="S27" s="16" t="n">
        <v>0.3202467274638243</v>
      </c>
      <c r="T27" s="16" t="n">
        <v>0.2291612188706527</v>
      </c>
      <c r="U27" s="16" t="n">
        <v>0.2607288718497752</v>
      </c>
      <c r="V27" s="16" t="n">
        <v>0.2449251586877344</v>
      </c>
    </row>
    <row r="28">
      <c r="A28" t="inlineStr">
        <is>
          <t>Ingresos</t>
        </is>
      </c>
      <c r="B28" t="inlineStr">
        <is>
          <t>Utilidad bruta</t>
        </is>
      </c>
      <c r="C28" s="16" t="n">
        <v>0.2545127578718784</v>
      </c>
      <c r="D28" s="16" t="n">
        <v>0.3081840461525115</v>
      </c>
      <c r="E28" s="16" t="n">
        <v>0.2256680199441194</v>
      </c>
      <c r="F28" s="16" t="n">
        <v>0.04629765364284667</v>
      </c>
      <c r="G28" s="16" t="n">
        <v>0.208665619402839</v>
      </c>
      <c r="H28" s="16" t="n">
        <v>0.2627835683629675</v>
      </c>
      <c r="I28" s="16" t="n">
        <v>0.8914393494117533</v>
      </c>
      <c r="J28" s="16" t="n">
        <v>0.8748762406349955</v>
      </c>
      <c r="K28" s="16" t="n">
        <v>0.2172495618893417</v>
      </c>
      <c r="L28" s="16" t="n">
        <v>0.5615871800747644</v>
      </c>
      <c r="M28" s="16" t="n">
        <v>0.7498869705816992</v>
      </c>
      <c r="N28" s="16" t="n">
        <v>0.3476623843490436</v>
      </c>
      <c r="O28" s="16" t="n">
        <v>0.6470643479894188</v>
      </c>
      <c r="P28" s="16" t="n">
        <v>0.3979078602386431</v>
      </c>
      <c r="Q28" s="16" t="n">
        <v>0.5356303907897011</v>
      </c>
      <c r="R28" s="16" t="n">
        <v>0.8304361834333144</v>
      </c>
      <c r="S28" s="16" t="n">
        <v>0.6797532725361757</v>
      </c>
      <c r="T28" s="16" t="n">
        <v>0.7708387811293473</v>
      </c>
      <c r="U28" s="16" t="n">
        <v>0.7392711281502249</v>
      </c>
      <c r="V28" s="16" t="n">
        <v>0.7550748413122657</v>
      </c>
    </row>
    <row r="29">
      <c r="A29" t="inlineStr">
        <is>
          <t>Gastos</t>
        </is>
      </c>
      <c r="B29" t="inlineStr">
        <is>
          <t>SG&amp;A</t>
        </is>
      </c>
      <c r="C29" s="16" t="n">
        <v>0.05437364277958741</v>
      </c>
      <c r="D29" s="16" t="n">
        <v>0.05953413724299471</v>
      </c>
      <c r="E29" s="16" t="n">
        <v>0.1113721615905898</v>
      </c>
      <c r="F29" s="16" t="n">
        <v>0.008985314787827572</v>
      </c>
      <c r="G29" s="16" t="n">
        <v>0.05856631410024988</v>
      </c>
      <c r="H29" s="16" t="n">
        <v>0.1225628448804414</v>
      </c>
      <c r="I29" s="16" t="n">
        <v>0.3323762080494879</v>
      </c>
      <c r="J29" s="16" t="n">
        <v>0.3895710860691405</v>
      </c>
      <c r="K29" s="16" t="n">
        <v>0.09454706750661104</v>
      </c>
      <c r="L29" s="16" t="n">
        <v>0.2347643016264202</v>
      </c>
      <c r="M29" s="16" t="n">
        <v>0.02675157283309195</v>
      </c>
      <c r="N29" s="16" t="n">
        <v>0.08748793824380829</v>
      </c>
      <c r="O29" s="16" t="n">
        <v>0.06591325308748258</v>
      </c>
      <c r="P29" s="16" t="n">
        <v>0.0322382149927765</v>
      </c>
      <c r="Q29" s="16" t="n">
        <v>0.05309774478928983</v>
      </c>
      <c r="R29" s="16" t="n">
        <v>0.1702081958913147</v>
      </c>
      <c r="S29" s="16" t="n">
        <v>0.251356257896022</v>
      </c>
      <c r="T29" s="16" t="n">
        <v>0.1650489917090954</v>
      </c>
      <c r="U29" s="16" t="n">
        <v>0.2279732522658836</v>
      </c>
      <c r="V29" s="16" t="n">
        <v>0.2036466744405789</v>
      </c>
    </row>
    <row r="30">
      <c r="A30" t="inlineStr">
        <is>
          <t>Gastos</t>
        </is>
      </c>
      <c r="B30" t="inlineStr">
        <is>
          <t>I+D</t>
        </is>
      </c>
      <c r="C30" s="16" t="n">
        <v>0.00132328990228013</v>
      </c>
      <c r="D30" s="16" t="n">
        <v>0.002315216448338683</v>
      </c>
      <c r="E30" s="16" t="n">
        <v>0.003791235084361155</v>
      </c>
      <c r="F30" s="16" t="n">
        <v>0</v>
      </c>
      <c r="G30" s="16" t="n">
        <v>0.001857435358744992</v>
      </c>
      <c r="H30" s="16" t="n">
        <v>0</v>
      </c>
      <c r="I30" s="16" t="n">
        <v>0.3255326016785023</v>
      </c>
      <c r="J30" s="16" t="n">
        <v>0.4016204288577829</v>
      </c>
      <c r="K30" s="16" t="n">
        <v>0</v>
      </c>
      <c r="L30" s="16" t="n">
        <v>0.1817882576340713</v>
      </c>
      <c r="M30" s="16" t="n">
        <v>0.09896012935163261</v>
      </c>
      <c r="N30" s="16" t="n">
        <v>0.26060961534823</v>
      </c>
      <c r="O30" s="16" t="n">
        <v>0.1718189929093556</v>
      </c>
      <c r="P30" s="16" t="n">
        <v>0.1016105730643694</v>
      </c>
      <c r="Q30" s="16" t="n">
        <v>0.1582498276683969</v>
      </c>
      <c r="R30" s="16" t="n">
        <v>0.204621120299483</v>
      </c>
      <c r="S30" s="16" t="n">
        <v>0.1556909749132101</v>
      </c>
      <c r="T30" s="16" t="n">
        <v>0.2286382304533079</v>
      </c>
      <c r="U30" s="16" t="n">
        <v>0.1981923560166984</v>
      </c>
      <c r="V30" s="16" t="n">
        <v>0.1967856704206749</v>
      </c>
    </row>
    <row r="31">
      <c r="A31" t="inlineStr">
        <is>
          <t>Gastos</t>
        </is>
      </c>
      <c r="B31" t="inlineStr">
        <is>
          <t>Otros gastos operativos</t>
        </is>
      </c>
      <c r="C31" s="16" t="n">
        <v>-0.003511807817589576</v>
      </c>
      <c r="D31" s="16" t="n">
        <v>0.1445681877331483</v>
      </c>
      <c r="E31" s="16" t="n">
        <v>-0.008857535388462666</v>
      </c>
      <c r="F31" s="16" t="n">
        <v>0.000129347141859322</v>
      </c>
      <c r="G31" s="16" t="n">
        <v>0.03308204791723883</v>
      </c>
      <c r="H31" s="16" t="n">
        <v>0</v>
      </c>
      <c r="I31" s="16" t="n">
        <v>-0.02051395700644622</v>
      </c>
      <c r="J31" s="16" t="n">
        <v>0</v>
      </c>
      <c r="K31" s="16" t="n">
        <v>4.133395462613928e-17</v>
      </c>
      <c r="L31" s="16" t="n">
        <v>-0.005128489251611544</v>
      </c>
      <c r="M31" s="16" t="n">
        <v>0</v>
      </c>
      <c r="N31" s="16" t="n">
        <v>0</v>
      </c>
      <c r="O31" s="16" t="n">
        <v>0</v>
      </c>
      <c r="P31" s="16" t="n">
        <v>0.0001070148215527851</v>
      </c>
      <c r="Q31" s="16" t="n">
        <v>2.675370538819626e-05</v>
      </c>
      <c r="R31" s="16" t="n">
        <v>0</v>
      </c>
      <c r="S31" s="16" t="n">
        <v>-0.01545762423959318</v>
      </c>
      <c r="T31" s="16" t="n">
        <v>0</v>
      </c>
      <c r="U31" s="16" t="n">
        <v>-0.0367709305489894</v>
      </c>
      <c r="V31" s="16" t="n">
        <v>-0.01305713869714564</v>
      </c>
    </row>
    <row r="32">
      <c r="A32" t="inlineStr">
        <is>
          <t>Gastos</t>
        </is>
      </c>
      <c r="B32" t="inlineStr">
        <is>
          <t>Total gastos operativos</t>
        </is>
      </c>
      <c r="C32" s="16" t="n">
        <v>0.7976723669923995</v>
      </c>
      <c r="D32" s="16" t="n">
        <v>0.8982334952719702</v>
      </c>
      <c r="E32" s="16" t="n">
        <v>0.8806378413423689</v>
      </c>
      <c r="F32" s="16" t="n">
        <v>0.9628170082868402</v>
      </c>
      <c r="G32" s="16" t="n">
        <v>0.8848401779733948</v>
      </c>
      <c r="H32" s="16" t="n">
        <v>0.859779276517474</v>
      </c>
      <c r="I32" s="16" t="n">
        <v>0.7459555033097907</v>
      </c>
      <c r="J32" s="16" t="n">
        <v>0.9163152742919279</v>
      </c>
      <c r="K32" s="16" t="n">
        <v>0.8772975056172694</v>
      </c>
      <c r="L32" s="16" t="n">
        <v>0.8498368899341154</v>
      </c>
      <c r="M32" s="16" t="n">
        <v>0.3758247316030254</v>
      </c>
      <c r="N32" s="16" t="n">
        <v>1.000435169242995</v>
      </c>
      <c r="O32" s="16" t="n">
        <v>0.5906678980074194</v>
      </c>
      <c r="P32" s="16" t="n">
        <v>0.7360479426400557</v>
      </c>
      <c r="Q32" s="16" t="n">
        <v>0.6757439353733738</v>
      </c>
      <c r="R32" s="16" t="n">
        <v>0.5443931327574832</v>
      </c>
      <c r="S32" s="16" t="n">
        <v>0.7118363360334632</v>
      </c>
      <c r="T32" s="16" t="n">
        <v>0.6228484410330559</v>
      </c>
      <c r="U32" s="16" t="n">
        <v>0.6501235495833678</v>
      </c>
      <c r="V32" s="16" t="n">
        <v>0.6323003648518425</v>
      </c>
    </row>
    <row r="33">
      <c r="A33" t="inlineStr">
        <is>
          <t>Gastos</t>
        </is>
      </c>
      <c r="B33" t="inlineStr">
        <is>
          <t>Depreciación y amortización</t>
        </is>
      </c>
      <c r="C33" s="16" t="n">
        <v>0.195100434310532</v>
      </c>
      <c r="D33" s="16" t="n">
        <v>0.1050739567970851</v>
      </c>
      <c r="E33" s="16" t="n">
        <v>0.07452185054259737</v>
      </c>
      <c r="F33" s="16" t="n">
        <v>0.03478575801736701</v>
      </c>
      <c r="G33" s="16" t="n">
        <v>0.1023704999168954</v>
      </c>
      <c r="H33" s="16" t="n">
        <v>0.07014101778050276</v>
      </c>
      <c r="I33" s="16" t="n">
        <v>0.006768931327866799</v>
      </c>
      <c r="J33" s="16" t="n">
        <v>0.0265186607599059</v>
      </c>
      <c r="K33" s="16" t="n">
        <v>0.04641670322638505</v>
      </c>
      <c r="L33" s="16" t="n">
        <v>0.03746132827366513</v>
      </c>
      <c r="M33" s="16" t="n">
        <v>0.01450608059955401</v>
      </c>
      <c r="N33" s="16" t="n">
        <v>0.2214822242824438</v>
      </c>
      <c r="O33" s="16" t="n">
        <v>0.1373518869253526</v>
      </c>
      <c r="P33" s="16" t="n">
        <v>0.2245170956177431</v>
      </c>
      <c r="Q33" s="16" t="n">
        <v>0.1494643218562733</v>
      </c>
      <c r="R33" s="16" t="n">
        <v>0.03063870264962641</v>
      </c>
      <c r="S33" s="16" t="n">
        <v>0.07965560073466181</v>
      </c>
      <c r="T33" s="16" t="n">
        <v>0.08990786174647368</v>
      </c>
      <c r="U33" s="16" t="n">
        <v>0.05504261521431218</v>
      </c>
      <c r="V33" s="16" t="n">
        <v>0.06381119508626852</v>
      </c>
    </row>
    <row r="34">
      <c r="A34" t="inlineStr">
        <is>
          <t>Gastos</t>
        </is>
      </c>
      <c r="B34" t="inlineStr">
        <is>
          <t>Gasto por intereses (neto)</t>
        </is>
      </c>
      <c r="C34" s="16" t="n">
        <v>0.009229098805646038</v>
      </c>
      <c r="D34" s="16" t="n">
        <v>0.005205170469332871</v>
      </c>
      <c r="E34" s="16" t="n">
        <v>0.001861656967320665</v>
      </c>
      <c r="F34" s="16" t="n">
        <v>0.004794467391585538</v>
      </c>
      <c r="G34" s="16" t="n">
        <v>0.005272598408471278</v>
      </c>
      <c r="H34" s="16" t="n">
        <v>0.04193746167995095</v>
      </c>
      <c r="I34" s="16" t="n">
        <v>-0.03830347937523487</v>
      </c>
      <c r="J34" s="16" t="n">
        <v>-0.002296449767266888</v>
      </c>
      <c r="K34" s="16" t="n">
        <v>0.02307261608417542</v>
      </c>
      <c r="L34" s="16" t="n">
        <v>0.006102537155406154</v>
      </c>
      <c r="M34" s="16" t="n">
        <v>-0.01179337456033472</v>
      </c>
      <c r="N34" s="16" t="n">
        <v>0.001589313757024199</v>
      </c>
      <c r="O34" s="16" t="n">
        <v>0.04481349883387856</v>
      </c>
      <c r="P34" s="16" t="n">
        <v>-0.000508320402375729</v>
      </c>
      <c r="Q34" s="16" t="n">
        <v>0.008525279407048078</v>
      </c>
      <c r="R34" s="16" t="n">
        <v>0.01373141656054864</v>
      </c>
      <c r="S34" s="16" t="n">
        <v>-0.000902402513987239</v>
      </c>
      <c r="T34" s="16" t="n">
        <v>0.01559736044669364</v>
      </c>
      <c r="U34" s="16" t="n">
        <v>0.01586572972486772</v>
      </c>
      <c r="V34" s="16" t="n">
        <v>0.01107302605453069</v>
      </c>
    </row>
    <row r="35">
      <c r="A35" t="inlineStr">
        <is>
          <t>Gastos</t>
        </is>
      </c>
      <c r="B35" t="inlineStr">
        <is>
          <t>Otros (no operativos)</t>
        </is>
      </c>
      <c r="C35" s="16" t="n">
        <v>0.02161373507057546</v>
      </c>
      <c r="D35" s="16" t="n">
        <v>0.01048624967467685</v>
      </c>
      <c r="E35" s="16" t="n">
        <v>0.009907225884132693</v>
      </c>
      <c r="F35" s="16" t="n">
        <v>-0.006475980235756724</v>
      </c>
      <c r="G35" s="16" t="n">
        <v>0.008882807598407066</v>
      </c>
      <c r="H35" s="16" t="n">
        <v>-0.0007357449417535254</v>
      </c>
      <c r="I35" s="16" t="n">
        <v>0.01565285258664715</v>
      </c>
      <c r="J35" s="16" t="n">
        <v>-0.007963646095941832</v>
      </c>
      <c r="K35" s="16" t="n">
        <v>-0.06903242382449395</v>
      </c>
      <c r="L35" s="16" t="n">
        <v>-0.01551974056888554</v>
      </c>
      <c r="M35" s="16" t="n">
        <v>0.007923553798171605</v>
      </c>
      <c r="N35" s="16" t="n">
        <v>0.03148354871057461</v>
      </c>
      <c r="O35" s="16" t="n">
        <v>-0.008749823907837274</v>
      </c>
      <c r="P35" s="16" t="n">
        <v>-0.006180105944673337</v>
      </c>
      <c r="Q35" s="16" t="n">
        <v>0.006119293164058901</v>
      </c>
      <c r="R35" s="16" t="n">
        <v>-0.04710106015741267</v>
      </c>
      <c r="S35" s="16" t="n">
        <v>0.05683012538086694</v>
      </c>
      <c r="T35" s="16" t="n">
        <v>-0.03750134592607405</v>
      </c>
      <c r="U35" s="16" t="n">
        <v>-0.05809880277215339</v>
      </c>
      <c r="V35" s="16" t="n">
        <v>-0.02146777086869329</v>
      </c>
    </row>
    <row r="36">
      <c r="A36" t="inlineStr">
        <is>
          <t>Utilidad e Impuestos</t>
        </is>
      </c>
      <c r="B36" t="inlineStr">
        <is>
          <t>EBIT</t>
        </is>
      </c>
      <c r="C36" s="16" t="n">
        <v>0.2023276330076004</v>
      </c>
      <c r="D36" s="16" t="n">
        <v>0.1017665047280298</v>
      </c>
      <c r="E36" s="16" t="n">
        <v>0.1193621586576311</v>
      </c>
      <c r="F36" s="16" t="n">
        <v>0.03718299171315978</v>
      </c>
      <c r="G36" s="16" t="n">
        <v>0.1151598220266053</v>
      </c>
      <c r="H36" s="16" t="n">
        <v>0.1402207234825261</v>
      </c>
      <c r="I36" s="16" t="n">
        <v>0.2540444966902094</v>
      </c>
      <c r="J36" s="16" t="n">
        <v>0.08368472570807203</v>
      </c>
      <c r="K36" s="16" t="n">
        <v>0.1227024943827306</v>
      </c>
      <c r="L36" s="16" t="n">
        <v>0.1501631100658845</v>
      </c>
      <c r="M36" s="16" t="n">
        <v>0.6241752683969747</v>
      </c>
      <c r="N36" s="16" t="n">
        <v>-0.0004351692429947212</v>
      </c>
      <c r="O36" s="16" t="n">
        <v>0.4093321019925806</v>
      </c>
      <c r="P36" s="16" t="n">
        <v>0.2639520573599444</v>
      </c>
      <c r="Q36" s="16" t="n">
        <v>0.3242560646266262</v>
      </c>
      <c r="R36" s="16" t="n">
        <v>0.4556068672425168</v>
      </c>
      <c r="S36" s="16" t="n">
        <v>0.2881636639665368</v>
      </c>
      <c r="T36" s="16" t="n">
        <v>0.3771515589669441</v>
      </c>
      <c r="U36" s="16" t="n">
        <v>0.3498764504166322</v>
      </c>
      <c r="V36" s="16" t="n">
        <v>0.3676996351481575</v>
      </c>
    </row>
    <row r="37">
      <c r="A37" t="inlineStr">
        <is>
          <t>Utilidad e Impuestos</t>
        </is>
      </c>
      <c r="B37" t="inlineStr">
        <is>
          <t>EBITDA</t>
        </is>
      </c>
      <c r="C37" s="16" t="n">
        <v>0.3974280673181325</v>
      </c>
      <c r="D37" s="16" t="n">
        <v>0.206840461525115</v>
      </c>
      <c r="E37" s="16" t="n">
        <v>0.1938840092002285</v>
      </c>
      <c r="F37" s="16" t="n">
        <v>0.07196874973052679</v>
      </c>
      <c r="G37" s="16" t="n">
        <v>0.2175303219435007</v>
      </c>
      <c r="H37" s="16" t="n">
        <v>0.2103617412630288</v>
      </c>
      <c r="I37" s="16" t="n">
        <v>0.2608134280180762</v>
      </c>
      <c r="J37" s="16" t="n">
        <v>0.1102033864679779</v>
      </c>
      <c r="K37" s="16" t="n">
        <v>0.1691191976091156</v>
      </c>
      <c r="L37" s="16" t="n">
        <v>0.1876244383395496</v>
      </c>
      <c r="M37" s="16" t="n">
        <v>0.6386813489965286</v>
      </c>
      <c r="N37" s="16" t="n">
        <v>0.221047055039449</v>
      </c>
      <c r="O37" s="16" t="n">
        <v>0.5466839889179332</v>
      </c>
      <c r="P37" s="16" t="n">
        <v>0.4884691529776874</v>
      </c>
      <c r="Q37" s="16" t="n">
        <v>0.4737203864828995</v>
      </c>
      <c r="R37" s="16" t="n">
        <v>0.4862455698921432</v>
      </c>
      <c r="S37" s="16" t="n">
        <v>0.3678192647011986</v>
      </c>
      <c r="T37" s="16" t="n">
        <v>0.4670594207134177</v>
      </c>
      <c r="U37" s="16" t="n">
        <v>0.4049190656309444</v>
      </c>
      <c r="V37" s="16" t="n">
        <v>0.4315108302344259</v>
      </c>
    </row>
    <row r="38">
      <c r="A38" t="inlineStr">
        <is>
          <t>Utilidad e Impuestos</t>
        </is>
      </c>
      <c r="B38" t="inlineStr">
        <is>
          <t>Utilidad antes de impuestos</t>
        </is>
      </c>
      <c r="C38" s="16" t="n">
        <v>0.2147122692725299</v>
      </c>
      <c r="D38" s="16" t="n">
        <v>0.1070475839333738</v>
      </c>
      <c r="E38" s="16" t="n">
        <v>0.1274077275744431</v>
      </c>
      <c r="F38" s="16" t="n">
        <v>0.02591254408581752</v>
      </c>
      <c r="G38" s="16" t="n">
        <v>0.1187700312165411</v>
      </c>
      <c r="H38" s="16" t="n">
        <v>0.09754751686082158</v>
      </c>
      <c r="I38" s="16" t="n">
        <v>0.3080008286520914</v>
      </c>
      <c r="J38" s="16" t="n">
        <v>0.07801752937939709</v>
      </c>
      <c r="K38" s="16" t="n">
        <v>0.03059745447406119</v>
      </c>
      <c r="L38" s="16" t="n">
        <v>0.1285408323415928</v>
      </c>
      <c r="M38" s="16" t="n">
        <v>0.6438921967554809</v>
      </c>
      <c r="N38" s="16" t="n">
        <v>0.02945906571055569</v>
      </c>
      <c r="O38" s="16" t="n">
        <v>0.3557687792508648</v>
      </c>
      <c r="P38" s="16" t="n">
        <v>0.2582802718176467</v>
      </c>
      <c r="Q38" s="16" t="n">
        <v>0.321850078383637</v>
      </c>
      <c r="R38" s="16" t="n">
        <v>0.3947743905245554</v>
      </c>
      <c r="S38" s="16" t="n">
        <v>0.345896191861391</v>
      </c>
      <c r="T38" s="16" t="n">
        <v>0.3240528525941764</v>
      </c>
      <c r="U38" s="16" t="n">
        <v>0.2759119179196111</v>
      </c>
      <c r="V38" s="16" t="n">
        <v>0.3351588382249335</v>
      </c>
    </row>
    <row r="39">
      <c r="A39" t="inlineStr">
        <is>
          <t>Utilidad e Impuestos</t>
        </is>
      </c>
      <c r="B39" t="inlineStr">
        <is>
          <t>Impuestos</t>
        </is>
      </c>
      <c r="C39" s="16" t="n">
        <v>0.08597991313789359</v>
      </c>
      <c r="D39" s="16" t="n">
        <v>0.03935325756918539</v>
      </c>
      <c r="E39" s="16" t="n">
        <v>0.03571417545267903</v>
      </c>
      <c r="F39" s="16" t="n">
        <v>0.006544965378081696</v>
      </c>
      <c r="G39" s="16" t="n">
        <v>0.04189807788445992</v>
      </c>
      <c r="H39" s="16" t="n">
        <v>0.01545064377682403</v>
      </c>
      <c r="I39" s="16" t="n">
        <v>-0.003235115577695769</v>
      </c>
      <c r="J39" s="16" t="n">
        <v>0.02431579085275583</v>
      </c>
      <c r="K39" s="16" t="n">
        <v>0.002803181059076465</v>
      </c>
      <c r="L39" s="16" t="n">
        <v>0.009833625027740142</v>
      </c>
      <c r="M39" s="16" t="n">
        <v>0.08541192517835659</v>
      </c>
      <c r="N39" s="16" t="n">
        <v>0.02896713526195296</v>
      </c>
      <c r="O39" s="16" t="n">
        <v>-0.006214096764599997</v>
      </c>
      <c r="P39" s="16" t="n">
        <v>0.0300711648563326</v>
      </c>
      <c r="Q39" s="16" t="n">
        <v>0.03455903213301054</v>
      </c>
      <c r="R39" s="16" t="n">
        <v>0.07810797956396999</v>
      </c>
      <c r="S39" s="16" t="n">
        <v>0.05071502128608283</v>
      </c>
      <c r="T39" s="16" t="n">
        <v>0.04313116241866761</v>
      </c>
      <c r="U39" s="16" t="n">
        <v>0.05159634194668255</v>
      </c>
      <c r="V39" s="16" t="n">
        <v>0.05588762630385075</v>
      </c>
    </row>
    <row r="40">
      <c r="A40" t="inlineStr">
        <is>
          <t>Utilidad e Impuestos</t>
        </is>
      </c>
      <c r="B40" t="inlineStr">
        <is>
          <t>Otros (después de impuestos)</t>
        </is>
      </c>
      <c r="C40" s="16" t="n">
        <v>0.006786102062975028</v>
      </c>
      <c r="D40" s="16" t="n">
        <v>-0.001008501778433244</v>
      </c>
      <c r="E40" s="16" t="n">
        <v>-0.002642750189098655</v>
      </c>
      <c r="F40" s="16" t="n">
        <v>0.0008795605646433899</v>
      </c>
      <c r="G40" s="16" t="n">
        <v>0.00100360266502163</v>
      </c>
      <c r="H40" s="16" t="n">
        <v>0.00128755364806867</v>
      </c>
      <c r="I40" s="16" t="n">
        <v>0</v>
      </c>
      <c r="J40" s="16" t="n">
        <v>0</v>
      </c>
      <c r="K40" s="16" t="n">
        <v>0</v>
      </c>
      <c r="L40" s="16" t="n">
        <v>0.0003218884120171674</v>
      </c>
      <c r="M40" s="16" t="n">
        <v>0</v>
      </c>
      <c r="N40" s="16" t="n">
        <v>-0.005543677747715361</v>
      </c>
      <c r="O40" s="16" t="n">
        <v>0</v>
      </c>
      <c r="P40" s="16" t="n">
        <v>0.0002407833484937664</v>
      </c>
      <c r="Q40" s="16" t="n">
        <v>-0.001325723599805399</v>
      </c>
      <c r="R40" s="16" t="n">
        <v>0</v>
      </c>
      <c r="S40" s="16" t="n">
        <v>-0.01061650016455575</v>
      </c>
      <c r="T40" s="16" t="n">
        <v>-0.0001384381104736122</v>
      </c>
      <c r="U40" s="16" t="n">
        <v>-0.01493919200686507</v>
      </c>
      <c r="V40" s="16" t="n">
        <v>-0.006423532570473608</v>
      </c>
    </row>
    <row r="41">
      <c r="A41" t="inlineStr">
        <is>
          <t>Utilidad e Impuestos</t>
        </is>
      </c>
      <c r="B41" t="inlineStr">
        <is>
          <t>Utilidad neta</t>
        </is>
      </c>
      <c r="C41" s="16" t="n">
        <v>0.1355184581976113</v>
      </c>
      <c r="D41" s="16" t="n">
        <v>0.06668582458575519</v>
      </c>
      <c r="E41" s="16" t="n">
        <v>0.08905080193266544</v>
      </c>
      <c r="F41" s="16" t="n">
        <v>0.02024713927237921</v>
      </c>
      <c r="G41" s="16" t="n">
        <v>0.07787555599710279</v>
      </c>
      <c r="H41" s="16" t="n">
        <v>0.08338442673206621</v>
      </c>
      <c r="I41" s="16" t="n">
        <v>0.3112359442297872</v>
      </c>
      <c r="J41" s="16" t="n">
        <v>0.05370173852664126</v>
      </c>
      <c r="K41" s="16" t="n">
        <v>0.02779427341498472</v>
      </c>
      <c r="L41" s="16" t="n">
        <v>0.1190290957258698</v>
      </c>
      <c r="M41" s="16" t="n">
        <v>0.5584802715771244</v>
      </c>
      <c r="N41" s="16" t="n">
        <v>-0.005051747299112633</v>
      </c>
      <c r="O41" s="16" t="n">
        <v>0.3619828760154648</v>
      </c>
      <c r="P41" s="16" t="n">
        <v>0.2284498903098079</v>
      </c>
      <c r="Q41" s="16" t="n">
        <v>0.2859653226508211</v>
      </c>
      <c r="R41" s="16" t="n">
        <v>0.3166664109605855</v>
      </c>
      <c r="S41" s="16" t="n">
        <v>0.2845646704107524</v>
      </c>
      <c r="T41" s="16" t="n">
        <v>0.2807832520650351</v>
      </c>
      <c r="U41" s="16" t="n">
        <v>0.2093763839660635</v>
      </c>
      <c r="V41" s="16" t="n">
        <v>0.2728476793506092</v>
      </c>
    </row>
    <row r="42">
      <c r="A42" t="inlineStr">
        <is>
          <t>Indicadores: Liquidez</t>
        </is>
      </c>
      <c r="B42" t="inlineStr">
        <is>
          <t>Razón corriente</t>
        </is>
      </c>
      <c r="C42" s="17" t="n">
        <v>1.297360507851654</v>
      </c>
      <c r="D42" s="17" t="n">
        <v>1.154700931500285</v>
      </c>
      <c r="E42" s="17" t="n">
        <v>1.152799668187474</v>
      </c>
      <c r="F42" s="17" t="n">
        <v>1.645049259338011</v>
      </c>
      <c r="G42" s="17" t="n">
        <v>1.312477591719356</v>
      </c>
      <c r="H42" s="17" t="n">
        <v>0.7494603022307508</v>
      </c>
      <c r="I42" s="17" t="n">
        <v>5.225838705034882</v>
      </c>
      <c r="J42" s="17" t="n">
        <v>3.408512546272754</v>
      </c>
      <c r="K42" s="17" t="n">
        <v>1.09558285202961</v>
      </c>
      <c r="L42" s="17" t="n">
        <v>2.619848601391999</v>
      </c>
      <c r="M42" s="17" t="n">
        <v>4.439851498864077</v>
      </c>
      <c r="N42" s="17" t="n">
        <v>2.017038796516231</v>
      </c>
      <c r="O42" s="17" t="n">
        <v>1.7053581073782</v>
      </c>
      <c r="P42" s="17" t="n">
        <v>2.517984983411909</v>
      </c>
      <c r="Q42" s="17" t="n">
        <v>2.670058346542604</v>
      </c>
      <c r="R42" s="17" t="n">
        <v>1.579113205404792</v>
      </c>
      <c r="S42" s="17" t="n">
        <v>1.027676163027011</v>
      </c>
      <c r="T42" s="17" t="n">
        <v>1.536202209905744</v>
      </c>
      <c r="U42" s="17" t="n">
        <v>1.38312930921545</v>
      </c>
      <c r="V42" s="17" t="n">
        <v>1.381530221888249</v>
      </c>
    </row>
    <row r="43">
      <c r="A43" t="inlineStr">
        <is>
          <t>Indicadores: Liquidez</t>
        </is>
      </c>
      <c r="B43" t="inlineStr">
        <is>
          <t>Prueba ácida</t>
        </is>
      </c>
      <c r="C43" s="17" t="n">
        <v>1.068660207150017</v>
      </c>
      <c r="D43" s="17" t="n">
        <v>0.7299847245934046</v>
      </c>
      <c r="E43" s="17" t="n">
        <v>0.64184985483202</v>
      </c>
      <c r="F43" s="17" t="n">
        <v>0.5430576227939613</v>
      </c>
      <c r="G43" s="17" t="n">
        <v>0.7458881023423507</v>
      </c>
      <c r="H43" s="17" t="n">
        <v>0.6645478532022068</v>
      </c>
      <c r="I43" s="17" t="n">
        <v>4.491482286640559</v>
      </c>
      <c r="J43" s="17" t="n">
        <v>2.959602587446619</v>
      </c>
      <c r="K43" s="17" t="n">
        <v>0.6639769975408144</v>
      </c>
      <c r="L43" s="17" t="n">
        <v>2.19490243120755</v>
      </c>
      <c r="M43" s="17" t="n">
        <v>3.672355516152269</v>
      </c>
      <c r="N43" s="17" t="n">
        <v>1.306571654790182</v>
      </c>
      <c r="O43" s="17" t="n">
        <v>1.259749378848439</v>
      </c>
      <c r="P43" s="17" t="n">
        <v>1.525231360223503</v>
      </c>
      <c r="Q43" s="17" t="n">
        <v>1.940976977503598</v>
      </c>
      <c r="R43" s="17" t="n">
        <v>0.7134381741796298</v>
      </c>
      <c r="S43" s="17" t="n">
        <v>0.6887632561061228</v>
      </c>
      <c r="T43" s="17" t="n">
        <v>0.9298549087443075</v>
      </c>
      <c r="U43" s="17" t="n">
        <v>0.9597155291766796</v>
      </c>
      <c r="V43" s="17" t="n">
        <v>0.8229429670516849</v>
      </c>
    </row>
    <row r="44">
      <c r="A44" t="inlineStr">
        <is>
          <t>Indicadores: Liquidez</t>
        </is>
      </c>
      <c r="B44" t="inlineStr">
        <is>
          <t>Capital de trabajo neto (USD mm)</t>
        </is>
      </c>
      <c r="C44" s="18" t="n">
        <v>3560</v>
      </c>
      <c r="D44" s="18" t="n">
        <v>5165</v>
      </c>
      <c r="E44" s="18" t="n">
        <v>11052</v>
      </c>
      <c r="F44" s="18" t="n">
        <v>9101</v>
      </c>
      <c r="G44" s="18" t="n">
        <v>7219.5</v>
      </c>
      <c r="H44" s="18" t="n">
        <v>-2089</v>
      </c>
      <c r="I44" s="18" t="n">
        <v>5578.91</v>
      </c>
      <c r="J44" s="18" t="n">
        <v>4404.76</v>
      </c>
      <c r="K44" s="18" t="n">
        <v>305.5</v>
      </c>
      <c r="L44" s="18" t="n">
        <v>2050.0425</v>
      </c>
      <c r="M44" s="18" t="n">
        <v>62079</v>
      </c>
      <c r="N44" s="18" t="n">
        <v>32113</v>
      </c>
      <c r="O44" s="18" t="n">
        <v>13059</v>
      </c>
      <c r="P44" s="18" t="n">
        <v>17387</v>
      </c>
      <c r="Q44" s="18" t="n">
        <v>31159.5</v>
      </c>
      <c r="R44" s="18" t="n">
        <v>20401</v>
      </c>
      <c r="S44" s="18" t="n">
        <v>1498</v>
      </c>
      <c r="T44" s="18" t="n">
        <v>15189</v>
      </c>
      <c r="U44" s="18" t="n">
        <v>13540.32999999999</v>
      </c>
      <c r="V44" s="18" t="n">
        <v>12657.0825</v>
      </c>
    </row>
    <row r="45">
      <c r="A45" t="inlineStr">
        <is>
          <t>Indicadores: Eficiencia</t>
        </is>
      </c>
      <c r="B45" t="inlineStr">
        <is>
          <t>Rotación de inventario</t>
        </is>
      </c>
      <c r="C45" s="17" t="n">
        <v>23.86854970124932</v>
      </c>
      <c r="D45" s="17" t="n">
        <v>13.58456215065212</v>
      </c>
      <c r="E45" s="17" t="n">
        <v>10.06743467266086</v>
      </c>
      <c r="F45" s="17" t="n">
        <v>14.40828556539864</v>
      </c>
      <c r="G45" s="17" t="n">
        <v>15.48220802249024</v>
      </c>
      <c r="H45" s="17" t="n">
        <v>0</v>
      </c>
      <c r="I45" s="17" t="n">
        <v>1.023366183750397</v>
      </c>
      <c r="J45" s="17" t="n">
        <v>1.211979478254564</v>
      </c>
      <c r="K45" s="17" t="n">
        <v>0</v>
      </c>
      <c r="L45" s="17" t="n">
        <v>0.5588364155012403</v>
      </c>
      <c r="M45" s="17" t="n">
        <v>4.249316495248014</v>
      </c>
      <c r="N45" s="17" t="n">
        <v>2.895364460866644</v>
      </c>
      <c r="O45" s="17" t="n">
        <v>11.19007444168735</v>
      </c>
      <c r="P45" s="17" t="n">
        <v>2.612304120719675</v>
      </c>
      <c r="Q45" s="17" t="n">
        <v>5.23676487963042</v>
      </c>
      <c r="R45" s="17" t="n">
        <v>1.036131475821724</v>
      </c>
      <c r="S45" s="17" t="n">
        <v>2.265064764407734</v>
      </c>
      <c r="T45" s="17" t="n">
        <v>2.333829403932012</v>
      </c>
      <c r="U45" s="17" t="n">
        <v>2.17275586089269</v>
      </c>
      <c r="V45" s="17" t="n">
        <v>1.95194537626354</v>
      </c>
    </row>
    <row r="46">
      <c r="A46" t="inlineStr">
        <is>
          <t>Indicadores: Eficiencia</t>
        </is>
      </c>
      <c r="B46" t="inlineStr">
        <is>
          <t>Rotación de activos fijos netos</t>
        </is>
      </c>
      <c r="C46" s="17" t="n">
        <v>0.6258055611589464</v>
      </c>
      <c r="D46" s="17" t="n">
        <v>0.8168551219533801</v>
      </c>
      <c r="E46" s="17" t="n">
        <v>1.056451954846264</v>
      </c>
      <c r="F46" s="17" t="n">
        <v>4.042211300498449</v>
      </c>
      <c r="G46" s="17" t="n">
        <v>1.63533098461426</v>
      </c>
      <c r="H46" s="17" t="n">
        <v>19.81773997569866</v>
      </c>
      <c r="I46" s="17" t="n">
        <v>86.03772020725388</v>
      </c>
      <c r="J46" s="17" t="n">
        <v>2.985166437598471</v>
      </c>
      <c r="K46" s="17" t="n">
        <v>15.72672346427278</v>
      </c>
      <c r="L46" s="17" t="n">
        <v>31.14183752120595</v>
      </c>
      <c r="M46" s="17" t="n">
        <v>16.15861812778603</v>
      </c>
      <c r="N46" s="17" t="n">
        <v>0.4993905607785704</v>
      </c>
      <c r="O46" s="17" t="n">
        <v>16.60265072765073</v>
      </c>
      <c r="P46" s="17" t="n">
        <v>0.7897984194734395</v>
      </c>
      <c r="Q46" s="17" t="n">
        <v>8.512614458922194</v>
      </c>
      <c r="R46" s="17" t="n">
        <v>2.513167534220166</v>
      </c>
      <c r="S46" s="17" t="n">
        <v>3.849483019330581</v>
      </c>
      <c r="T46" s="17" t="n">
        <v>2.423703538008426</v>
      </c>
      <c r="U46" s="17" t="n">
        <v>2.565654936017309</v>
      </c>
      <c r="V46" s="17" t="n">
        <v>2.838002256894121</v>
      </c>
    </row>
    <row r="47">
      <c r="A47" t="inlineStr">
        <is>
          <t>Indicadores: Eficiencia</t>
        </is>
      </c>
      <c r="B47" t="inlineStr">
        <is>
          <t>Rotación de activos totales</t>
        </is>
      </c>
      <c r="C47" s="17" t="n">
        <v>0.4833892356014073</v>
      </c>
      <c r="D47" s="17" t="n">
        <v>0.5692134859202745</v>
      </c>
      <c r="E47" s="17" t="n">
        <v>0.7214241168871665</v>
      </c>
      <c r="F47" s="17" t="n">
        <v>1.999844795474926</v>
      </c>
      <c r="G47" s="17" t="n">
        <v>0.9434679084709435</v>
      </c>
      <c r="H47" s="17" t="n">
        <v>0.5446834090301896</v>
      </c>
      <c r="I47" s="17" t="n">
        <v>0.4781145013814843</v>
      </c>
      <c r="J47" s="17" t="n">
        <v>0.6524985437017696</v>
      </c>
      <c r="K47" s="17" t="n">
        <v>0.5071571298707604</v>
      </c>
      <c r="L47" s="17" t="n">
        <v>0.545613395996051</v>
      </c>
      <c r="M47" s="17" t="n">
        <v>1.169317479234057</v>
      </c>
      <c r="N47" s="17" t="n">
        <v>0.2499798986893945</v>
      </c>
      <c r="O47" s="17" t="n">
        <v>0.373407289645337</v>
      </c>
      <c r="P47" s="17" t="n">
        <v>0.451436025024759</v>
      </c>
      <c r="Q47" s="17" t="n">
        <v>0.5610351731483869</v>
      </c>
      <c r="R47" s="17" t="n">
        <v>0.5794925139585334</v>
      </c>
      <c r="S47" s="17" t="n">
        <v>0.472832689122032</v>
      </c>
      <c r="T47" s="17" t="n">
        <v>0.4749974427542268</v>
      </c>
      <c r="U47" s="17" t="n">
        <v>0.5842997413654266</v>
      </c>
      <c r="V47" s="17" t="n">
        <v>0.5279055968000547</v>
      </c>
    </row>
    <row r="48">
      <c r="A48" t="inlineStr">
        <is>
          <t>Indicadores: Eficiencia</t>
        </is>
      </c>
      <c r="B48" t="inlineStr">
        <is>
          <t>Días de cuentas por cobrar</t>
        </is>
      </c>
      <c r="C48" s="19" t="n">
        <v>35.99594530401738</v>
      </c>
      <c r="D48" s="19" t="n">
        <v>35.77131408866141</v>
      </c>
      <c r="E48" s="19" t="n">
        <v>40.27897068584925</v>
      </c>
      <c r="F48" s="19" t="n">
        <v>9.360507730647511</v>
      </c>
      <c r="G48" s="19" t="n">
        <v>30.35168445229388</v>
      </c>
      <c r="H48" s="19" t="n">
        <v>76.08828939301041</v>
      </c>
      <c r="I48" s="19" t="n">
        <v>130.9687159746779</v>
      </c>
      <c r="J48" s="19" t="n">
        <v>59.09646773460004</v>
      </c>
      <c r="K48" s="19" t="n">
        <v>65.24255454265611</v>
      </c>
      <c r="L48" s="19" t="n">
        <v>82.84900691123613</v>
      </c>
      <c r="M48" s="19" t="n">
        <v>64.51278573453796</v>
      </c>
      <c r="N48" s="19" t="n">
        <v>26.51192931337862</v>
      </c>
      <c r="O48" s="19" t="n">
        <v>40.82090253103135</v>
      </c>
      <c r="P48" s="19" t="n">
        <v>69.94742896891219</v>
      </c>
      <c r="Q48" s="19" t="n">
        <v>50.44826163696503</v>
      </c>
      <c r="R48" s="19" t="n">
        <v>99.4553460470397</v>
      </c>
      <c r="S48" s="19" t="n">
        <v>66.56513753675964</v>
      </c>
      <c r="T48" s="19" t="n">
        <v>66.10996600575287</v>
      </c>
      <c r="U48" s="19" t="n">
        <v>70.69768923028158</v>
      </c>
      <c r="V48" s="19" t="n">
        <v>75.70703470495845</v>
      </c>
    </row>
    <row r="49">
      <c r="A49" t="inlineStr">
        <is>
          <t>Indicadores: Eficiencia</t>
        </is>
      </c>
      <c r="B49" t="inlineStr">
        <is>
          <t>Días de inventario</t>
        </is>
      </c>
      <c r="C49" s="19" t="n">
        <v>15.55789449729189</v>
      </c>
      <c r="D49" s="19" t="n">
        <v>27.77985469422304</v>
      </c>
      <c r="E49" s="19" t="n">
        <v>38.2769028348152</v>
      </c>
      <c r="F49" s="19" t="n">
        <v>25.05212571655907</v>
      </c>
      <c r="G49" s="19" t="n">
        <v>26.6666944357223</v>
      </c>
      <c r="H49" s="19" t="n">
        <v>0</v>
      </c>
      <c r="I49" s="19" t="n">
        <v>383.5144340648367</v>
      </c>
      <c r="J49" s="19" t="n">
        <v>332.0728004307895</v>
      </c>
      <c r="K49" s="19" t="n">
        <v>0</v>
      </c>
      <c r="L49" s="19" t="n">
        <v>178.8968086239066</v>
      </c>
      <c r="M49" s="19" t="n">
        <v>112.724041790496</v>
      </c>
      <c r="N49" s="19" t="n">
        <v>122.9935031034283</v>
      </c>
      <c r="O49" s="19" t="n">
        <v>36.74605286499911</v>
      </c>
      <c r="P49" s="19" t="n">
        <v>135.5065540990891</v>
      </c>
      <c r="Q49" s="19" t="n">
        <v>101.9925379645031</v>
      </c>
      <c r="R49" s="19" t="n">
        <v>453.90517553384</v>
      </c>
      <c r="S49" s="19" t="n">
        <v>171.7127465605835</v>
      </c>
      <c r="T49" s="19" t="n">
        <v>163.1205530943751</v>
      </c>
      <c r="U49" s="19" t="n">
        <v>177.9382587193659</v>
      </c>
      <c r="V49" s="19" t="n">
        <v>241.6691834770411</v>
      </c>
    </row>
    <row r="50">
      <c r="A50" t="inlineStr">
        <is>
          <t>Indicadores: Eficiencia</t>
        </is>
      </c>
      <c r="B50" t="inlineStr">
        <is>
          <t>Días de cuentas por pagar</t>
        </is>
      </c>
      <c r="C50" s="19" t="n">
        <v>51.64921942560648</v>
      </c>
      <c r="D50" s="19" t="n">
        <v>55.1534958814355</v>
      </c>
      <c r="E50" s="19" t="n">
        <v>52.46156453091982</v>
      </c>
      <c r="F50" s="19" t="n">
        <v>33.46113853776741</v>
      </c>
      <c r="G50" s="19" t="n">
        <v>48.1813545939323</v>
      </c>
      <c r="H50" s="19" t="n">
        <v>23.67764471057884</v>
      </c>
      <c r="I50" s="19" t="n">
        <v>448.906184125857</v>
      </c>
      <c r="J50" s="19" t="n">
        <v>261.5394740778412</v>
      </c>
      <c r="K50" s="19" t="n">
        <v>10.85719505662095</v>
      </c>
      <c r="L50" s="19" t="n">
        <v>186.2451244927245</v>
      </c>
      <c r="M50" s="19" t="n">
        <v>70.56435552559822</v>
      </c>
      <c r="N50" s="19" t="n">
        <v>104.6154069261558</v>
      </c>
      <c r="O50" s="19" t="n">
        <v>25.25279403938265</v>
      </c>
      <c r="P50" s="19" t="n">
        <v>55.79204621195289</v>
      </c>
      <c r="Q50" s="19" t="n">
        <v>64.05615067577239</v>
      </c>
      <c r="R50" s="19" t="n">
        <v>177.6452225841477</v>
      </c>
      <c r="S50" s="19" t="n">
        <v>145.0924912978618</v>
      </c>
      <c r="T50" s="19" t="n">
        <v>107.897704389851</v>
      </c>
      <c r="U50" s="19" t="n">
        <v>100.8054342201349</v>
      </c>
      <c r="V50" s="19" t="n">
        <v>132.8602131229988</v>
      </c>
    </row>
    <row r="51">
      <c r="A51" t="inlineStr">
        <is>
          <t>Indicadores: Eficiencia</t>
        </is>
      </c>
      <c r="B51" t="inlineStr">
        <is>
          <t>Ciclo operativo</t>
        </is>
      </c>
      <c r="C51" s="19" t="n">
        <v>51.55383980130926</v>
      </c>
      <c r="D51" s="19" t="n">
        <v>63.55116878288445</v>
      </c>
      <c r="E51" s="19" t="n">
        <v>78.55587352066445</v>
      </c>
      <c r="F51" s="19" t="n">
        <v>34.41263344720658</v>
      </c>
      <c r="G51" s="19" t="n">
        <v>57.01837888801619</v>
      </c>
      <c r="H51" s="19" t="n">
        <v>76.08828939301041</v>
      </c>
      <c r="I51" s="19" t="n">
        <v>514.4831500395146</v>
      </c>
      <c r="J51" s="19" t="n">
        <v>391.1692681653895</v>
      </c>
      <c r="K51" s="19" t="n">
        <v>65.24255454265611</v>
      </c>
      <c r="L51" s="19" t="n">
        <v>261.7458155351426</v>
      </c>
      <c r="M51" s="19" t="n">
        <v>177.236827525034</v>
      </c>
      <c r="N51" s="19" t="n">
        <v>149.5054324168069</v>
      </c>
      <c r="O51" s="19" t="n">
        <v>77.56695539603047</v>
      </c>
      <c r="P51" s="19" t="n">
        <v>205.4539830680013</v>
      </c>
      <c r="Q51" s="19" t="n">
        <v>152.4407996014681</v>
      </c>
      <c r="R51" s="19" t="n">
        <v>553.3605215808797</v>
      </c>
      <c r="S51" s="19" t="n">
        <v>238.2778840973431</v>
      </c>
      <c r="T51" s="19" t="n">
        <v>229.2305191001279</v>
      </c>
      <c r="U51" s="19" t="n">
        <v>248.6359479496475</v>
      </c>
      <c r="V51" s="19" t="n">
        <v>317.3762181819995</v>
      </c>
    </row>
    <row r="52">
      <c r="A52" t="inlineStr">
        <is>
          <t>Indicadores: Eficiencia</t>
        </is>
      </c>
      <c r="B52" t="inlineStr">
        <is>
          <t>Ciclo de efectivo</t>
        </is>
      </c>
      <c r="C52" s="19" t="n">
        <v>-0.09537962429722313</v>
      </c>
      <c r="D52" s="19" t="n">
        <v>8.397672901448942</v>
      </c>
      <c r="E52" s="19" t="n">
        <v>26.09430898974463</v>
      </c>
      <c r="F52" s="19" t="n">
        <v>0.9514949094391696</v>
      </c>
      <c r="G52" s="19" t="n">
        <v>8.837024294083879</v>
      </c>
      <c r="H52" s="19" t="n">
        <v>52.41064468243157</v>
      </c>
      <c r="I52" s="19" t="n">
        <v>65.5769659136576</v>
      </c>
      <c r="J52" s="19" t="n">
        <v>129.6297940875482</v>
      </c>
      <c r="K52" s="19" t="n">
        <v>54.38535948603516</v>
      </c>
      <c r="L52" s="19" t="n">
        <v>75.50069104241814</v>
      </c>
      <c r="M52" s="19" t="n">
        <v>106.6724719994358</v>
      </c>
      <c r="N52" s="19" t="n">
        <v>44.8900254906511</v>
      </c>
      <c r="O52" s="19" t="n">
        <v>52.31416135664782</v>
      </c>
      <c r="P52" s="19" t="n">
        <v>149.6619368560484</v>
      </c>
      <c r="Q52" s="19" t="n">
        <v>88.38464892569576</v>
      </c>
      <c r="R52" s="19" t="n">
        <v>375.715298996732</v>
      </c>
      <c r="S52" s="19" t="n">
        <v>93.18539279948135</v>
      </c>
      <c r="T52" s="19" t="n">
        <v>121.3328147102769</v>
      </c>
      <c r="U52" s="19" t="n">
        <v>147.8305137295126</v>
      </c>
      <c r="V52" s="19" t="n">
        <v>184.5160050590007</v>
      </c>
    </row>
    <row r="53">
      <c r="A53" t="inlineStr">
        <is>
          <t>Indicadores: Apalancamiento</t>
        </is>
      </c>
      <c r="B53" t="inlineStr">
        <is>
          <t>Nivel de endeudamiento</t>
        </is>
      </c>
      <c r="C53" s="16" t="n">
        <v>0.4711536095916811</v>
      </c>
      <c r="D53" s="16" t="n">
        <v>0.406886164709949</v>
      </c>
      <c r="E53" s="16" t="n">
        <v>0.406151721680253</v>
      </c>
      <c r="F53" s="16" t="n">
        <v>0.5411981789335725</v>
      </c>
      <c r="G53" s="16" t="n">
        <v>0.4563474187288639</v>
      </c>
      <c r="H53" s="16" t="n">
        <v>0.7785866951643067</v>
      </c>
      <c r="I53" s="16" t="n">
        <v>0.1565885687500072</v>
      </c>
      <c r="J53" s="16" t="n">
        <v>0.4638660962781047</v>
      </c>
      <c r="K53" s="16" t="n">
        <v>0.4349410779118845</v>
      </c>
      <c r="L53" s="16" t="n">
        <v>0.4584956095260758</v>
      </c>
      <c r="M53" s="16" t="n">
        <v>0.2891909570702771</v>
      </c>
      <c r="N53" s="16" t="n">
        <v>0.4023525627988592</v>
      </c>
      <c r="O53" s="16" t="n">
        <v>0.5248638159586655</v>
      </c>
      <c r="P53" s="16" t="n">
        <v>0.3458175318244402</v>
      </c>
      <c r="Q53" s="16" t="n">
        <v>0.3905562169130605</v>
      </c>
      <c r="R53" s="16" t="n">
        <v>0.7640830043742665</v>
      </c>
      <c r="S53" s="16" t="n">
        <v>0.5906631193213192</v>
      </c>
      <c r="T53" s="16" t="n">
        <v>0.6152294945421068</v>
      </c>
      <c r="U53" s="16" t="n">
        <v>0.6238443248503113</v>
      </c>
      <c r="V53" s="16" t="n">
        <v>0.648454985772001</v>
      </c>
    </row>
    <row r="54">
      <c r="A54" t="inlineStr">
        <is>
          <t>Indicadores: Apalancamiento</t>
        </is>
      </c>
      <c r="B54" t="inlineStr">
        <is>
          <t>Cobertura de intereses</t>
        </is>
      </c>
      <c r="C54" s="17" t="n">
        <v>21.92279411764706</v>
      </c>
      <c r="D54" s="17" t="n">
        <v>19.55104166666667</v>
      </c>
      <c r="E54" s="17" t="n">
        <v>64.11608623548922</v>
      </c>
      <c r="F54" s="17" t="n">
        <v>7.755395683453237</v>
      </c>
      <c r="G54" s="17" t="n">
        <v>28.33632942581404</v>
      </c>
      <c r="H54" s="17" t="n">
        <v>3.343567251461988</v>
      </c>
      <c r="I54" s="17" t="n">
        <v>-6.632413055782655</v>
      </c>
      <c r="J54" s="17" t="n">
        <v>-36.44091279543603</v>
      </c>
      <c r="K54" s="17" t="n">
        <v>5.318100640823617</v>
      </c>
      <c r="L54" s="17" t="n">
        <v>-8.602914489733271</v>
      </c>
      <c r="M54" s="17" t="n">
        <v>-52.92592592592592</v>
      </c>
      <c r="N54" s="17" t="n">
        <v>-0.2738095238095238</v>
      </c>
      <c r="O54" s="17" t="n">
        <v>9.134125043660497</v>
      </c>
      <c r="P54" s="17" t="n">
        <v>-519.2631578947369</v>
      </c>
      <c r="Q54" s="17" t="n">
        <v>-140.832192075203</v>
      </c>
      <c r="R54" s="17" t="n">
        <v>33.17988826815643</v>
      </c>
      <c r="S54" s="17" t="n">
        <v>-319.3294117647059</v>
      </c>
      <c r="T54" s="17" t="n">
        <v>24.18047337278107</v>
      </c>
      <c r="U54" s="17" t="n">
        <v>22.05233900261398</v>
      </c>
      <c r="V54" s="17" t="n">
        <v>-59.97917778028859</v>
      </c>
    </row>
    <row r="55">
      <c r="A55" t="inlineStr">
        <is>
          <t>Indicadores: Rentabilidad</t>
        </is>
      </c>
      <c r="B55" t="inlineStr">
        <is>
          <t>Margen neto</t>
        </is>
      </c>
      <c r="C55" s="16" t="n">
        <v>0.1355184581976113</v>
      </c>
      <c r="D55" s="16" t="n">
        <v>0.06668582458575519</v>
      </c>
      <c r="E55" s="16" t="n">
        <v>0.08905080193266544</v>
      </c>
      <c r="F55" s="16" t="n">
        <v>0.02024713927237921</v>
      </c>
      <c r="G55" s="16" t="n">
        <v>0.07787555599710279</v>
      </c>
      <c r="H55" s="16" t="n">
        <v>0.08338442673206621</v>
      </c>
      <c r="I55" s="16" t="n">
        <v>0.3112359442297872</v>
      </c>
      <c r="J55" s="16" t="n">
        <v>0.05370173852664126</v>
      </c>
      <c r="K55" s="16" t="n">
        <v>0.02779427341498472</v>
      </c>
      <c r="L55" s="16" t="n">
        <v>0.1190290957258698</v>
      </c>
      <c r="M55" s="16" t="n">
        <v>0.5584802715771244</v>
      </c>
      <c r="N55" s="16" t="n">
        <v>-0.005051747299112633</v>
      </c>
      <c r="O55" s="16" t="n">
        <v>0.3619828760154648</v>
      </c>
      <c r="P55" s="16" t="n">
        <v>0.2284498903098079</v>
      </c>
      <c r="Q55" s="16" t="n">
        <v>0.2859653226508211</v>
      </c>
      <c r="R55" s="16" t="n">
        <v>0.3166664109605855</v>
      </c>
      <c r="S55" s="16" t="n">
        <v>0.2845646704107524</v>
      </c>
      <c r="T55" s="16" t="n">
        <v>0.2807832520650351</v>
      </c>
      <c r="U55" s="16" t="n">
        <v>0.2093763839660635</v>
      </c>
      <c r="V55" s="16" t="n">
        <v>0.2728476793506092</v>
      </c>
    </row>
    <row r="56">
      <c r="A56" t="inlineStr">
        <is>
          <t>Indicadores: Rentabilidad</t>
        </is>
      </c>
      <c r="B56" t="inlineStr">
        <is>
          <t>Margen operacional</t>
        </is>
      </c>
      <c r="C56" s="16" t="n">
        <v>0.2023276330076004</v>
      </c>
      <c r="D56" s="16" t="n">
        <v>0.1017665047280298</v>
      </c>
      <c r="E56" s="16" t="n">
        <v>0.1193621586576311</v>
      </c>
      <c r="F56" s="16" t="n">
        <v>0.03718299171315978</v>
      </c>
      <c r="G56" s="16" t="n">
        <v>0.1151598220266053</v>
      </c>
      <c r="H56" s="16" t="n">
        <v>0.1402207234825261</v>
      </c>
      <c r="I56" s="16" t="n">
        <v>0.2540444966902094</v>
      </c>
      <c r="J56" s="16" t="n">
        <v>0.08368472570807203</v>
      </c>
      <c r="K56" s="16" t="n">
        <v>0.1227024943827306</v>
      </c>
      <c r="L56" s="16" t="n">
        <v>0.1501631100658845</v>
      </c>
      <c r="M56" s="16" t="n">
        <v>0.6241752683969747</v>
      </c>
      <c r="N56" s="16" t="n">
        <v>-0.0004351692429947212</v>
      </c>
      <c r="O56" s="16" t="n">
        <v>0.4093321019925806</v>
      </c>
      <c r="P56" s="16" t="n">
        <v>0.2639520573599444</v>
      </c>
      <c r="Q56" s="16" t="n">
        <v>0.3242560646266262</v>
      </c>
      <c r="R56" s="16" t="n">
        <v>0.4556068672425168</v>
      </c>
      <c r="S56" s="16" t="n">
        <v>0.2881636639665368</v>
      </c>
      <c r="T56" s="16" t="n">
        <v>0.3771515589669441</v>
      </c>
      <c r="U56" s="16" t="n">
        <v>0.3498764504166322</v>
      </c>
      <c r="V56" s="16" t="n">
        <v>0.3676996351481575</v>
      </c>
    </row>
    <row r="57">
      <c r="A57" t="inlineStr">
        <is>
          <t>Indicadores: Rentabilidad</t>
        </is>
      </c>
      <c r="B57" t="inlineStr">
        <is>
          <t>ROA</t>
        </is>
      </c>
      <c r="C57" s="16" t="n">
        <v>0.06550816391802458</v>
      </c>
      <c r="D57" s="16" t="n">
        <v>0.03795847067392566</v>
      </c>
      <c r="E57" s="16" t="n">
        <v>0.06424339614236714</v>
      </c>
      <c r="F57" s="16" t="n">
        <v>0.04049113609712354</v>
      </c>
      <c r="G57" s="16" t="n">
        <v>0.05205029170786023</v>
      </c>
      <c r="H57" s="16" t="n">
        <v>0.04541811381244991</v>
      </c>
      <c r="I57" s="16" t="n">
        <v>0.1488064182874201</v>
      </c>
      <c r="J57" s="16" t="n">
        <v>0.03504030618288664</v>
      </c>
      <c r="K57" s="16" t="n">
        <v>0.01409606393198683</v>
      </c>
      <c r="L57" s="16" t="n">
        <v>0.06084022555368589</v>
      </c>
      <c r="M57" s="16" t="n">
        <v>0.6530407433625147</v>
      </c>
      <c r="N57" s="16" t="n">
        <v>-0.001262835278036599</v>
      </c>
      <c r="O57" s="16" t="n">
        <v>0.1351670446309588</v>
      </c>
      <c r="P57" s="16" t="n">
        <v>0.1031305103988019</v>
      </c>
      <c r="Q57" s="16" t="n">
        <v>0.2225188657785597</v>
      </c>
      <c r="R57" s="16" t="n">
        <v>0.1835058145737757</v>
      </c>
      <c r="S57" s="16" t="n">
        <v>0.1345514783394408</v>
      </c>
      <c r="T57" s="16" t="n">
        <v>0.1333713266991071</v>
      </c>
      <c r="U57" s="16" t="n">
        <v>0.1223385669993992</v>
      </c>
      <c r="V57" s="16" t="n">
        <v>0.1434417966529307</v>
      </c>
    </row>
    <row r="58">
      <c r="A58" t="inlineStr">
        <is>
          <t>Indicadores: Rentabilidad</t>
        </is>
      </c>
      <c r="B58" t="inlineStr">
        <is>
          <t>ROE</t>
        </is>
      </c>
      <c r="C58" s="16" t="n">
        <v>0.1238699272721634</v>
      </c>
      <c r="D58" s="16" t="n">
        <v>0.06399862625926234</v>
      </c>
      <c r="E58" s="16" t="n">
        <v>0.108181497678396</v>
      </c>
      <c r="F58" s="16" t="n">
        <v>0.08825408757752302</v>
      </c>
      <c r="G58" s="16" t="n">
        <v>0.09607603469683618</v>
      </c>
      <c r="H58" s="16" t="n">
        <v>0.2051282051282051</v>
      </c>
      <c r="I58" s="16" t="n">
        <v>0.1764337185532337</v>
      </c>
      <c r="J58" s="16" t="n">
        <v>0.06535737796030679</v>
      </c>
      <c r="K58" s="16" t="n">
        <v>0.02494621129551917</v>
      </c>
      <c r="L58" s="16" t="n">
        <v>0.1179663782343162</v>
      </c>
      <c r="M58" s="16" t="n">
        <v>0.9187288060811577</v>
      </c>
      <c r="N58" s="16" t="n">
        <v>-0.00211301044634378</v>
      </c>
      <c r="O58" s="16" t="n">
        <v>0.2844806377011268</v>
      </c>
      <c r="P58" s="16" t="n">
        <v>0.1576479276285424</v>
      </c>
      <c r="Q58" s="16" t="n">
        <v>0.3396860902411207</v>
      </c>
      <c r="R58" s="16" t="n">
        <v>0.7778405879027699</v>
      </c>
      <c r="S58" s="16" t="n">
        <v>0.3287059746885117</v>
      </c>
      <c r="T58" s="16" t="n">
        <v>0.3466256503740838</v>
      </c>
      <c r="U58" s="16" t="n">
        <v>0.3252339408121745</v>
      </c>
      <c r="V58" s="16" t="n">
        <v>0.4446015384443849</v>
      </c>
    </row>
    <row r="59">
      <c r="A59" t="inlineStr">
        <is>
          <t>Indicadores: Rentabilidad</t>
        </is>
      </c>
      <c r="B59" t="inlineStr">
        <is>
          <t>ROC</t>
        </is>
      </c>
      <c r="C59" s="16" t="n">
        <v>0.08131743081335999</v>
      </c>
      <c r="D59" s="16" t="n">
        <v>0.05095462982999884</v>
      </c>
      <c r="E59" s="16" t="n">
        <v>0.08967573828940364</v>
      </c>
      <c r="F59" s="16" t="n">
        <v>0.08658067916750255</v>
      </c>
      <c r="G59" s="16" t="n">
        <v>0.07713211952506625</v>
      </c>
      <c r="H59" s="16" t="n">
        <v>0.08527201397458435</v>
      </c>
      <c r="I59" s="16" t="n">
        <v>0.1445944574521568</v>
      </c>
      <c r="J59" s="16" t="n">
        <v>0.04872641533123079</v>
      </c>
      <c r="K59" s="16" t="n">
        <v>0.07301692265485001</v>
      </c>
      <c r="L59" s="16" t="n">
        <v>0.08790245235320547</v>
      </c>
      <c r="M59" s="16" t="n">
        <v>0.8047420771455737</v>
      </c>
      <c r="N59" s="16" t="n">
        <v>-2.219068473202143e-06</v>
      </c>
      <c r="O59" s="16" t="n">
        <v>0.1817123156323076</v>
      </c>
      <c r="P59" s="16" t="n">
        <v>0.1268120970327936</v>
      </c>
      <c r="Q59" s="16" t="n">
        <v>0.2783160676855504</v>
      </c>
      <c r="R59" s="16" t="n">
        <v>0.3450347055886679</v>
      </c>
      <c r="S59" s="16" t="n">
        <v>0.1788990722962072</v>
      </c>
      <c r="T59" s="16" t="n">
        <v>0.2083856207320472</v>
      </c>
      <c r="U59" s="16" t="n">
        <v>0.2354991704031049</v>
      </c>
      <c r="V59" s="16" t="n">
        <v>0.2419546422550068</v>
      </c>
    </row>
    <row r="60">
      <c r="A60" t="inlineStr">
        <is>
          <t>Indicadores: Rentabilidad</t>
        </is>
      </c>
      <c r="B60" t="inlineStr">
        <is>
          <t>ROIC</t>
        </is>
      </c>
      <c r="C60" s="16" t="n">
        <v>0.06910527697738048</v>
      </c>
      <c r="D60" s="16" t="n">
        <v>0.04174368606003176</v>
      </c>
      <c r="E60" s="16" t="n">
        <v>0.07602965934463814</v>
      </c>
      <c r="F60" s="16" t="n">
        <v>0.08223518668396099</v>
      </c>
      <c r="G60" s="16" t="n">
        <v>0.06727845226650284</v>
      </c>
      <c r="H60" s="16" t="n">
        <v>0.09807194025447458</v>
      </c>
      <c r="I60" s="16" t="n">
        <v>0.2752879074079573</v>
      </c>
      <c r="J60" s="16" t="n">
        <v>0.1698327490816551</v>
      </c>
      <c r="K60" s="16" t="n">
        <v>0.07401255027224901</v>
      </c>
      <c r="L60" s="16" t="n">
        <v>0.154301286754084</v>
      </c>
      <c r="M60" s="16" t="n">
        <v>0.8314989342977687</v>
      </c>
      <c r="N60" s="16" t="n">
        <v>-2.319429027319933e-06</v>
      </c>
      <c r="O60" s="16" t="n">
        <v>0.1950716345557738</v>
      </c>
      <c r="P60" s="16" t="n">
        <v>0.1412809499566999</v>
      </c>
      <c r="Q60" s="16" t="n">
        <v>0.2919622998453038</v>
      </c>
      <c r="R60" s="16" t="n">
        <v>0.3403901972625101</v>
      </c>
      <c r="S60" s="16" t="n">
        <v>0.1705793801085191</v>
      </c>
      <c r="T60" s="16" t="n">
        <v>0.2261853459498324</v>
      </c>
      <c r="U60" s="16" t="n">
        <v>0.2493617416905178</v>
      </c>
      <c r="V60" s="16" t="n">
        <v>0.2466291662528448</v>
      </c>
    </row>
    <row r="61">
      <c r="A61" t="inlineStr">
        <is>
          <t>Indicadores: Rentabilidad</t>
        </is>
      </c>
      <c r="B61" t="inlineStr">
        <is>
          <t>ROCE</t>
        </is>
      </c>
      <c r="C61" s="16" t="n">
        <v>0.06502244317703999</v>
      </c>
      <c r="D61" s="16" t="n">
        <v>0.04083979611121187</v>
      </c>
      <c r="E61" s="16" t="n">
        <v>0.07387361848054659</v>
      </c>
      <c r="F61" s="16" t="n">
        <v>0.07344923998566774</v>
      </c>
      <c r="G61" s="16" t="n">
        <v>0.06329627443861655</v>
      </c>
      <c r="H61" s="16" t="n">
        <v>0.08908450890652217</v>
      </c>
      <c r="I61" s="16" t="n">
        <v>0.1447466621442117</v>
      </c>
      <c r="J61" s="16" t="n">
        <v>0.04839389758280468</v>
      </c>
      <c r="K61" s="16" t="n">
        <v>0.07034810076934017</v>
      </c>
      <c r="L61" s="16" t="n">
        <v>0.08814329235071967</v>
      </c>
      <c r="M61" s="16" t="n">
        <v>0.7551607301944322</v>
      </c>
      <c r="N61" s="16" t="n">
        <v>-2.135465061688261e-06</v>
      </c>
      <c r="O61" s="16" t="n">
        <v>0.1743879914103445</v>
      </c>
      <c r="P61" s="16" t="n">
        <v>0.1221871099774094</v>
      </c>
      <c r="Q61" s="16" t="n">
        <v>0.2629334240292811</v>
      </c>
      <c r="R61" s="16" t="n">
        <v>0.3083640483175028</v>
      </c>
      <c r="S61" s="16" t="n">
        <v>0.1596545117566101</v>
      </c>
      <c r="T61" s="16" t="n">
        <v>0.1958332184771331</v>
      </c>
      <c r="U61" s="16" t="n">
        <v>0.2302159551789761</v>
      </c>
      <c r="V61" s="16" t="n">
        <v>0.2235169334325555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2026-10-02T01:44:06Z</dcterms:created>
  <dcterms:modified xmlns:dcterms="http://purl.org/dc/terms/" xmlns:xsi="http://www.w3.org/2001/XMLSchema-instance" xsi:type="dcterms:W3CDTF">2026-10-02T01:44:06Z</dcterms:modified>
</cp:coreProperties>
</file>